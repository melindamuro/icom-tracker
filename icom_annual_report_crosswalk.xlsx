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cker Crosswalk" sheetId="2" state="visible" r:id="rId2"/>
    <sheet xmlns:r="http://schemas.openxmlformats.org/officeDocument/2006/relationships" name="Report Summary" sheetId="3" state="visible" r:id="rId3"/>
    <sheet xmlns:r="http://schemas.openxmlformats.org/officeDocument/2006/relationships" name="Report Match Chart" sheetId="4" state="visible" r:id="rId4"/>
    <sheet xmlns:r="http://schemas.openxmlformats.org/officeDocument/2006/relationships" name="Not in Current Tracker" sheetId="5" state="visible" r:id="rId5"/>
    <sheet xmlns:r="http://schemas.openxmlformats.org/officeDocument/2006/relationships" name="Codex Merge Rows" sheetId="6" state="visible" r:id="rId6"/>
  </sheets>
  <definedNames>
    <definedName name="_xlnm._FilterDatabase" localSheetId="1" hidden="1">'Tracker Crosswalk'!$A$1:$M$147</definedName>
    <definedName name="_xlnm._FilterDatabase" localSheetId="2" hidden="1">'Report Summary'!$A$1:$K$6</definedName>
    <definedName name="_xlnm._FilterDatabase" localSheetId="4" hidden="1">'Not in Current Tracker'!$A$1:$D$11</definedName>
    <definedName name="_xlnm._FilterDatabase" localSheetId="5" hidden="1">'Codex Merge Rows'!$A$1:$H$180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9D0D6"/>
      </left>
      <right style="thin">
        <color rgb="00C9D0D6"/>
      </right>
      <top style="thin">
        <color rgb="00C9D0D6"/>
      </top>
      <bottom style="thin">
        <color rgb="00C9D0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Report Publications Matched to Current Tracker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 Match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 Match Chart'!$A$2:$A$6</f>
            </numRef>
          </cat>
          <val>
            <numRef>
              <f>'Report Match Chart'!$B$2:$B$6</f>
            </numRef>
          </val>
        </ser>
        <ser>
          <idx val="1"/>
          <order val="1"/>
          <tx>
            <strRef>
              <f>'Report Match 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 Match Chart'!$A$2:$A$6</f>
            </numRef>
          </cat>
          <val>
            <numRef>
              <f>'Report Match Chart'!$C$2:$C$6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report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Publication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Crosswalk" displayName="TrackerCrosswalk" ref="A1:M147" headerRowCount="1">
  <autoFilter ref="A1:M147"/>
  <tableColumns count="13">
    <tableColumn id="1" name="Record #"/>
    <tableColumn id="2" name="Publication Year"/>
    <tableColumn id="3" name="Title"/>
    <tableColumn id="4" name="DOI"/>
    <tableColumn id="5" name="FY20"/>
    <tableColumn id="6" name="FY21"/>
    <tableColumn id="7" name="FY22"/>
    <tableColumn id="8" name="FY23"/>
    <tableColumn id="9" name="FY24"/>
    <tableColumn id="10" name="Annual Report History"/>
    <tableColumn id="11" name="Report Count"/>
    <tableColumn id="12" name="Multiple Reports?"/>
    <tableColumn id="13" name="Match / Alias 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ICoM Annual Report Publication Crosswalk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Matches each publication in the 7/23/2026 report-ready tracker export to every ICoM annual report in which it appeared, preserving the publication status at the time of that report.</t>
        </is>
      </c>
    </row>
    <row r="5">
      <c r="A5" s="2" t="n"/>
    </row>
    <row r="6">
      <c r="A6" s="3" t="inlineStr">
        <is>
          <t>How to use with the tracker</t>
        </is>
      </c>
    </row>
    <row r="7">
      <c r="A7" s="2" t="inlineStr">
        <is>
          <t>Use the Codex Merge Rows sheet or the JSON patch. Match records by DOI first; use title fallback only where DOI is absent. Add each row to the record’s annualReports array using fiscalYear, statusAtReport, and notes.</t>
        </is>
      </c>
    </row>
    <row r="8">
      <c r="A8" s="2" t="n"/>
    </row>
    <row r="9">
      <c r="A9" s="3" t="inlineStr">
        <is>
          <t>Important interpretation</t>
        </is>
      </c>
    </row>
    <row r="10">
      <c r="A10" s="2" t="inlineStr">
        <is>
          <t>A publication may appear in multiple annual reports as it moves from submitted to accepted to published. Do not collapse these historical entries into only the latest status.</t>
        </is>
      </c>
    </row>
    <row r="11">
      <c r="A11" s="2" t="n"/>
    </row>
    <row r="12">
      <c r="A12" s="3" t="inlineStr">
        <is>
          <t>Source files reviewed</t>
        </is>
      </c>
    </row>
    <row r="13">
      <c r="A13" s="2" t="inlineStr">
        <is>
          <t>FY20: PNNL_ICoM_2020_Annual_Report_FINAL.pdf — Body, PDF p. 8</t>
        </is>
      </c>
    </row>
    <row r="14">
      <c r="A14" s="2" t="inlineStr">
        <is>
          <t>FY21: ICoM_2021_Annual_Report_FINAL.pdf — Appendix A, PDF pp. 35–36</t>
        </is>
      </c>
    </row>
    <row r="15">
      <c r="A15" s="2" t="inlineStr">
        <is>
          <t>FY22: PNNL_ICoM_2022_Annual_Report.pdf — Appendix A, PDF pp. 35–38</t>
        </is>
      </c>
    </row>
    <row r="16">
      <c r="A16" s="2" t="inlineStr">
        <is>
          <t>FY23: PNNL_ICoM_2023_Annual_Report_Final.pdf — Appendix A, PDF pp. 36–41</t>
        </is>
      </c>
    </row>
    <row r="17">
      <c r="A17" s="2" t="inlineStr">
        <is>
          <t>FY24: ICoM 2024 Annual Report.pdf — Appendix A, PDF pp. 39–44</t>
        </is>
      </c>
    </row>
    <row r="18">
      <c r="A18" s="2" t="n"/>
    </row>
    <row r="19">
      <c r="A19" s="2" t="inlineStr">
        <is>
          <t>Publication list source: icom-publication-list-2026-07-23 (2).pdf</t>
        </is>
      </c>
    </row>
    <row r="20">
      <c r="A20" s="2" t="n"/>
    </row>
    <row r="21">
      <c r="A21" s="3" t="inlineStr">
        <is>
          <t>Status legend</t>
        </is>
      </c>
    </row>
    <row r="22">
      <c r="A22" s="4" t="inlineStr">
        <is>
          <t>Published / Indexed</t>
        </is>
      </c>
    </row>
    <row r="23">
      <c r="A23" s="5" t="inlineStr">
        <is>
          <t>Accepted / In press</t>
        </is>
      </c>
    </row>
    <row r="24">
      <c r="A24" s="6" t="inlineStr">
        <is>
          <t>Submitted / In review</t>
        </is>
      </c>
    </row>
    <row r="25">
      <c r="A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54" customWidth="1" min="10" max="10"/>
    <col width="13" customWidth="1" min="11" max="11"/>
    <col width="18" customWidth="1" min="12" max="12"/>
    <col width="62" customWidth="1" min="13" max="13"/>
  </cols>
  <sheetData>
    <row r="1" ht="32" customHeight="1">
      <c r="A1" s="7" t="inlineStr">
        <is>
          <t>Record #</t>
        </is>
      </c>
      <c r="B1" s="7" t="inlineStr">
        <is>
          <t>Publication Year</t>
        </is>
      </c>
      <c r="C1" s="7" t="inlineStr">
        <is>
          <t>Title</t>
        </is>
      </c>
      <c r="D1" s="7" t="inlineStr">
        <is>
          <t>DOI</t>
        </is>
      </c>
      <c r="E1" s="7" t="inlineStr">
        <is>
          <t>FY20</t>
        </is>
      </c>
      <c r="F1" s="7" t="inlineStr">
        <is>
          <t>FY21</t>
        </is>
      </c>
      <c r="G1" s="7" t="inlineStr">
        <is>
          <t>FY22</t>
        </is>
      </c>
      <c r="H1" s="7" t="inlineStr">
        <is>
          <t>FY23</t>
        </is>
      </c>
      <c r="I1" s="7" t="inlineStr">
        <is>
          <t>FY24</t>
        </is>
      </c>
      <c r="J1" s="7" t="inlineStr">
        <is>
          <t>Annual Report History</t>
        </is>
      </c>
      <c r="K1" s="7" t="inlineStr">
        <is>
          <t>Report Count</t>
        </is>
      </c>
      <c r="L1" s="7" t="inlineStr">
        <is>
          <t>Multiple Reports?</t>
        </is>
      </c>
      <c r="M1" s="7" t="inlineStr">
        <is>
          <t>Match / Alias Notes</t>
        </is>
      </c>
    </row>
    <row r="2">
      <c r="A2" s="8" t="n">
        <v>1</v>
      </c>
      <c r="B2" s="8" t="n">
        <v>2026</v>
      </c>
      <c r="C2" s="8" t="inlineStr">
        <is>
          <t>A New National Dataset for Belowground Urban Stormwater Networks</t>
        </is>
      </c>
      <c r="D2" s="8" t="inlineStr">
        <is>
          <t>10.5194/egusphere-egu24-14536</t>
        </is>
      </c>
      <c r="E2" s="8" t="inlineStr"/>
      <c r="F2" s="8" t="inlineStr"/>
      <c r="G2" s="8" t="inlineStr"/>
      <c r="H2" s="8" t="inlineStr"/>
      <c r="I2" s="8" t="inlineStr"/>
      <c r="J2" s="8" t="inlineStr"/>
      <c r="K2" s="8">
        <f>COUNTIF(E2:I2,"&lt;&gt;")</f>
        <v/>
      </c>
      <c r="L2" s="8">
        <f>IF(K2&gt;1,"Yes","No")</f>
        <v/>
      </c>
      <c r="M2" s="8" t="inlineStr"/>
    </row>
    <row r="3">
      <c r="A3" s="8" t="n">
        <v>2</v>
      </c>
      <c r="B3" s="8" t="n">
        <v>2026</v>
      </c>
      <c r="C3" s="8" t="inlineStr">
        <is>
          <t>Applying a Multisector Scenario Framework to Evaluate Past and Future Public Surface Water Supply Infrastructure Strategies in Texas</t>
        </is>
      </c>
      <c r="D3" s="8" t="inlineStr">
        <is>
          <t>10.1029/2025ef006859</t>
        </is>
      </c>
      <c r="E3" s="8" t="inlineStr"/>
      <c r="F3" s="8" t="inlineStr"/>
      <c r="G3" s="8" t="inlineStr"/>
      <c r="H3" s="8" t="inlineStr"/>
      <c r="I3" s="8" t="inlineStr"/>
      <c r="J3" s="8" t="inlineStr"/>
      <c r="K3" s="8">
        <f>COUNTIF(E3:I3,"&lt;&gt;")</f>
        <v/>
      </c>
      <c r="L3" s="8">
        <f>IF(K3&gt;1,"Yes","No")</f>
        <v/>
      </c>
      <c r="M3" s="8" t="inlineStr"/>
    </row>
    <row r="4">
      <c r="A4" s="8" t="n">
        <v>3</v>
      </c>
      <c r="B4" s="8" t="n">
        <v>2026</v>
      </c>
      <c r="C4" s="8" t="inlineStr">
        <is>
          <t>Characterizing marine heat waves in the western North Atlantic and eastern North Pacific</t>
        </is>
      </c>
      <c r="D4" s="8" t="inlineStr">
        <is>
          <t>10.1175/jcli-d-25-0308.1</t>
        </is>
      </c>
      <c r="E4" s="8" t="inlineStr"/>
      <c r="F4" s="8" t="inlineStr"/>
      <c r="G4" s="8" t="inlineStr"/>
      <c r="H4" s="8" t="inlineStr"/>
      <c r="I4" s="8" t="inlineStr"/>
      <c r="J4" s="8" t="inlineStr"/>
      <c r="K4" s="8">
        <f>COUNTIF(E4:I4,"&lt;&gt;")</f>
        <v/>
      </c>
      <c r="L4" s="8">
        <f>IF(K4&gt;1,"Yes","No")</f>
        <v/>
      </c>
      <c r="M4" s="8" t="inlineStr"/>
    </row>
    <row r="5">
      <c r="A5" s="8" t="n">
        <v>4</v>
      </c>
      <c r="B5" s="8" t="n">
        <v>2026</v>
      </c>
      <c r="C5" s="8" t="inlineStr">
        <is>
          <t>Characterizing uncertainty in synthetic tropical cyclone hazard models for U.S. energy infrastructure resilience</t>
        </is>
      </c>
      <c r="D5" s="8" t="inlineStr">
        <is>
          <t>10.1088/2752-5295/ae7202</t>
        </is>
      </c>
      <c r="E5" s="8" t="inlineStr"/>
      <c r="F5" s="8" t="inlineStr"/>
      <c r="G5" s="8" t="inlineStr"/>
      <c r="H5" s="8" t="inlineStr"/>
      <c r="I5" s="8" t="inlineStr"/>
      <c r="J5" s="8" t="inlineStr"/>
      <c r="K5" s="8">
        <f>COUNTIF(E5:I5,"&lt;&gt;")</f>
        <v/>
      </c>
      <c r="L5" s="8">
        <f>IF(K5&gt;1,"Yes","No")</f>
        <v/>
      </c>
      <c r="M5" s="8" t="inlineStr"/>
    </row>
    <row r="6">
      <c r="A6" s="8" t="n">
        <v>5</v>
      </c>
      <c r="B6" s="8" t="n">
        <v>2026</v>
      </c>
      <c r="C6" s="8" t="inlineStr">
        <is>
          <t>Combined effects of salinity intrusion and warming on thermoelectric power plant performance in the Chesapeake Bay</t>
        </is>
      </c>
      <c r="D6" s="8" t="inlineStr">
        <is>
          <t>10.22541/essoar.15002291/v1</t>
        </is>
      </c>
      <c r="E6" s="8" t="inlineStr"/>
      <c r="F6" s="8" t="inlineStr"/>
      <c r="G6" s="8" t="inlineStr"/>
      <c r="H6" s="8" t="inlineStr"/>
      <c r="I6" s="8" t="inlineStr"/>
      <c r="J6" s="8" t="inlineStr"/>
      <c r="K6" s="8">
        <f>COUNTIF(E6:I6,"&lt;&gt;")</f>
        <v/>
      </c>
      <c r="L6" s="8">
        <f>IF(K6&gt;1,"Yes","No")</f>
        <v/>
      </c>
      <c r="M6" s="8" t="inlineStr"/>
    </row>
    <row r="7">
      <c r="A7" s="8" t="n">
        <v>6</v>
      </c>
      <c r="B7" s="8" t="n">
        <v>2026</v>
      </c>
      <c r="C7" s="8" t="inlineStr">
        <is>
          <t>Diagnosing Freezing Rain Events in Reanalysis and CMIP6 Climate Data</t>
        </is>
      </c>
      <c r="D7" s="8" t="inlineStr">
        <is>
          <t>10.1175/jamc-d-25-0094.1</t>
        </is>
      </c>
      <c r="E7" s="8" t="inlineStr"/>
      <c r="F7" s="8" t="inlineStr"/>
      <c r="G7" s="8" t="inlineStr"/>
      <c r="H7" s="8" t="inlineStr"/>
      <c r="I7" s="8" t="inlineStr"/>
      <c r="J7" s="8" t="inlineStr"/>
      <c r="K7" s="8">
        <f>COUNTIF(E7:I7,"&lt;&gt;")</f>
        <v/>
      </c>
      <c r="L7" s="8">
        <f>IF(K7&gt;1,"Yes","No")</f>
        <v/>
      </c>
      <c r="M7" s="8" t="inlineStr"/>
    </row>
    <row r="8">
      <c r="A8" s="8" t="n">
        <v>7</v>
      </c>
      <c r="B8" s="8" t="n">
        <v>2026</v>
      </c>
      <c r="C8" s="8" t="inlineStr">
        <is>
          <t>Disentangling atmospheric, hydrological, and coupling uncertainties in compound flood modeling within a coupled Earth system model</t>
        </is>
      </c>
      <c r="D8" s="8" t="inlineStr">
        <is>
          <t>10.5194/nhess-25-3619-2025</t>
        </is>
      </c>
      <c r="E8" s="8" t="inlineStr"/>
      <c r="F8" s="8" t="inlineStr"/>
      <c r="G8" s="8" t="inlineStr"/>
      <c r="H8" s="8" t="inlineStr"/>
      <c r="I8" s="9" t="inlineStr">
        <is>
          <t>Submitted / In review</t>
        </is>
      </c>
      <c r="J8" s="8" t="inlineStr">
        <is>
          <t>FY24: Submitted / In review</t>
        </is>
      </c>
      <c r="K8" s="8">
        <f>COUNTIF(E8:I8,"&lt;&gt;")</f>
        <v/>
      </c>
      <c r="L8" s="8">
        <f>IF(K8&gt;1,"Yes","No")</f>
        <v/>
      </c>
      <c r="M8" s="8" t="inlineStr"/>
    </row>
    <row r="9">
      <c r="A9" s="8" t="n">
        <v>8</v>
      </c>
      <c r="B9" s="8" t="n">
        <v>2026</v>
      </c>
      <c r="C9" s="8" t="inlineStr">
        <is>
          <t>High-resolution projections of extreme heat and thermal stress in southeastern U.S.</t>
        </is>
      </c>
      <c r="D9" s="8" t="inlineStr">
        <is>
          <t>10.1016/j.wace.2026.100878</t>
        </is>
      </c>
      <c r="E9" s="8" t="inlineStr"/>
      <c r="F9" s="8" t="inlineStr"/>
      <c r="G9" s="8" t="inlineStr"/>
      <c r="H9" s="8" t="inlineStr"/>
      <c r="I9" s="8" t="inlineStr"/>
      <c r="J9" s="8" t="inlineStr"/>
      <c r="K9" s="8">
        <f>COUNTIF(E9:I9,"&lt;&gt;")</f>
        <v/>
      </c>
      <c r="L9" s="8">
        <f>IF(K9&gt;1,"Yes","No")</f>
        <v/>
      </c>
      <c r="M9" s="8" t="inlineStr"/>
    </row>
    <row r="10">
      <c r="A10" s="8" t="n">
        <v>9</v>
      </c>
      <c r="B10" s="8" t="n">
        <v>2026</v>
      </c>
      <c r="C10" s="8" t="inlineStr">
        <is>
          <t>Hurricane Ian, understanding pluvial and surge impacts on flooding</t>
        </is>
      </c>
      <c r="D10" s="8" t="inlineStr">
        <is>
          <t>10.1109/mcg.2006.4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>
        <f>COUNTIF(E10:I10,"&lt;&gt;")</f>
        <v/>
      </c>
      <c r="L10" s="8">
        <f>IF(K10&gt;1,"Yes","No")</f>
        <v/>
      </c>
      <c r="M10" s="8" t="inlineStr"/>
    </row>
    <row r="11">
      <c r="A11" s="8" t="n">
        <v>10</v>
      </c>
      <c r="B11" s="8" t="n">
        <v>2026</v>
      </c>
      <c r="C11" s="8" t="inlineStr">
        <is>
          <t>Increased precipitation outweighs internal variability in amplifying future urban flood risk</t>
        </is>
      </c>
      <c r="D11" s="8" t="inlineStr">
        <is>
          <t>10.1029/2021ef002563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>
        <f>COUNTIF(E11:I11,"&lt;&gt;")</f>
        <v/>
      </c>
      <c r="L11" s="8">
        <f>IF(K11&gt;1,"Yes","No")</f>
        <v/>
      </c>
      <c r="M11" s="8" t="inlineStr"/>
    </row>
    <row r="12">
      <c r="A12" s="8" t="n">
        <v>11</v>
      </c>
      <c r="B12" s="8" t="n">
        <v>2026</v>
      </c>
      <c r="C12" s="8" t="inlineStr">
        <is>
          <t>Mapping Philadelphia-s Floodscape: A 35-Year Analysis of Coastal Urban Flood Drivers</t>
        </is>
      </c>
      <c r="D12" s="8" t="inlineStr">
        <is>
          <t>10.1029/2025ef006915</t>
        </is>
      </c>
      <c r="E12" s="8" t="inlineStr"/>
      <c r="F12" s="8" t="inlineStr"/>
      <c r="G12" s="8" t="inlineStr"/>
      <c r="H12" s="8" t="inlineStr"/>
      <c r="I12" s="9" t="inlineStr">
        <is>
          <t>Submitted / In review</t>
        </is>
      </c>
      <c r="J12" s="8" t="inlineStr">
        <is>
          <t>FY24: Submitted / In review</t>
        </is>
      </c>
      <c r="K12" s="8">
        <f>COUNTIF(E12:I12,"&lt;&gt;")</f>
        <v/>
      </c>
      <c r="L12" s="8">
        <f>IF(K12&gt;1,"Yes","No")</f>
        <v/>
      </c>
      <c r="M12" s="8" t="inlineStr"/>
    </row>
    <row r="13">
      <c r="A13" s="8" t="n">
        <v>12</v>
      </c>
      <c r="B13" s="8" t="n">
        <v>2026</v>
      </c>
      <c r="C13" s="8" t="inlineStr">
        <is>
          <t>Observational Urban Precipitation Assessments: Overview, Challenges, and Future Directions</t>
        </is>
      </c>
      <c r="D13" s="8" t="inlineStr">
        <is>
          <t>10.3389/fagro.2021.676208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>
        <f>COUNTIF(E13:I13,"&lt;&gt;")</f>
        <v/>
      </c>
      <c r="L13" s="8">
        <f>IF(K13&gt;1,"Yes","No")</f>
        <v/>
      </c>
      <c r="M13" s="8" t="inlineStr"/>
    </row>
    <row r="14">
      <c r="A14" s="8" t="n">
        <v>13</v>
      </c>
      <c r="B14" s="8" t="n">
        <v>2026</v>
      </c>
      <c r="C14" s="8" t="inlineStr">
        <is>
          <t>Recent Increase in the Migration Potential of Compound Drought and Heatwave Events Across the Global Land Surface</t>
        </is>
      </c>
      <c r="D14" s="8" t="inlineStr">
        <is>
          <t>10.1016/j.jhydrol.2025.132836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>
        <f>COUNTIF(E14:I14,"&lt;&gt;")</f>
        <v/>
      </c>
      <c r="L14" s="8">
        <f>IF(K14&gt;1,"Yes","No")</f>
        <v/>
      </c>
      <c r="M14" s="8" t="inlineStr"/>
    </row>
    <row r="15">
      <c r="A15" s="8" t="n">
        <v>14</v>
      </c>
      <c r="B15" s="8" t="n">
        <v>2026</v>
      </c>
      <c r="C15" s="8" t="inlineStr">
        <is>
          <t>Recent Tropical Cyclone Outer Size Increases in the Western North Atlantic</t>
        </is>
      </c>
      <c r="D15" s="8" t="inlineStr">
        <is>
          <t>10.1029/2025ef007162</t>
        </is>
      </c>
      <c r="E15" s="8" t="inlineStr"/>
      <c r="F15" s="8" t="inlineStr"/>
      <c r="G15" s="8" t="inlineStr"/>
      <c r="H15" s="8" t="inlineStr"/>
      <c r="I15" s="9" t="inlineStr">
        <is>
          <t>Submitted / In review</t>
        </is>
      </c>
      <c r="J15" s="8" t="inlineStr">
        <is>
          <t>FY24: Submitted / In review</t>
        </is>
      </c>
      <c r="K15" s="8">
        <f>COUNTIF(E15:I15,"&lt;&gt;")</f>
        <v/>
      </c>
      <c r="L15" s="8">
        <f>IF(K15&gt;1,"Yes","No")</f>
        <v/>
      </c>
      <c r="M15" s="8" t="inlineStr"/>
    </row>
    <row r="16">
      <c r="A16" s="8" t="n">
        <v>15</v>
      </c>
      <c r="B16" s="8" t="n">
        <v>2026</v>
      </c>
      <c r="C16" s="8" t="inlineStr">
        <is>
          <t>Systematic evaluation of atmospheric forcing, surface datasets, and mesh effects on kilometer-scale land surface and river modeling</t>
        </is>
      </c>
      <c r="D16" s="8" t="inlineStr">
        <is>
          <t>10.1016/j.jhydrol.2026.135500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>
        <f>COUNTIF(E16:I16,"&lt;&gt;")</f>
        <v/>
      </c>
      <c r="L16" s="8">
        <f>IF(K16&gt;1,"Yes","No")</f>
        <v/>
      </c>
      <c r="M16" s="8" t="inlineStr"/>
    </row>
    <row r="17">
      <c r="A17" s="8" t="n">
        <v>16</v>
      </c>
      <c r="B17" s="8" t="n">
        <v>2026</v>
      </c>
      <c r="C17" s="8" t="inlineStr">
        <is>
          <t>Water quality impacts during Hurricane Irene (2011) in a large coastal-plain estuary</t>
        </is>
      </c>
      <c r="D17" s="8" t="inlineStr">
        <is>
          <t>10.1016/j.ecss.2025.109632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>
        <f>COUNTIF(E17:I17,"&lt;&gt;")</f>
        <v/>
      </c>
      <c r="L17" s="8">
        <f>IF(K17&gt;1,"Yes","No")</f>
        <v/>
      </c>
      <c r="M17" s="8" t="inlineStr"/>
    </row>
    <row r="18">
      <c r="A18" s="8" t="n">
        <v>17</v>
      </c>
      <c r="B18" s="8" t="n">
        <v>2025</v>
      </c>
      <c r="C18" s="8" t="inlineStr">
        <is>
          <t>A Comparative Study of Physics-Informed and Data-Driven Neural Networks for Compound Flood Simulation at River-Ocean Interfaces: A Case Study of Hurricane Irene</t>
        </is>
      </c>
      <c r="D18" s="8" t="inlineStr">
        <is>
          <t>10.1029/2025jh000758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>
        <f>COUNTIF(E18:I18,"&lt;&gt;")</f>
        <v/>
      </c>
      <c r="L18" s="8">
        <f>IF(K18&gt;1,"Yes","No")</f>
        <v/>
      </c>
      <c r="M18" s="8" t="inlineStr"/>
    </row>
    <row r="19">
      <c r="A19" s="8" t="n">
        <v>18</v>
      </c>
      <c r="B19" s="8" t="n">
        <v>2025</v>
      </c>
      <c r="C19" s="8" t="inlineStr">
        <is>
          <t>A Greening Future Elevates Flash Drought Risk in Northern Mid-to-High Latitudes</t>
        </is>
      </c>
      <c r="D19" s="8" t="inlineStr">
        <is>
          <t>10.1029/2025ef006883</t>
        </is>
      </c>
      <c r="E19" s="8" t="inlineStr"/>
      <c r="F19" s="8" t="inlineStr"/>
      <c r="G19" s="8" t="inlineStr"/>
      <c r="H19" s="9" t="inlineStr">
        <is>
          <t>Submitted / In review</t>
        </is>
      </c>
      <c r="I19" s="9" t="inlineStr">
        <is>
          <t>Submitted / In review</t>
        </is>
      </c>
      <c r="J19" s="8" t="inlineStr">
        <is>
          <t>FY23: Submitted / In review; FY24: Submitted / In review</t>
        </is>
      </c>
      <c r="K19" s="8">
        <f>COUNTIF(E19:I19,"&lt;&gt;")</f>
        <v/>
      </c>
      <c r="L19" s="8">
        <f>IF(K19&gt;1,"Yes","No")</f>
        <v/>
      </c>
      <c r="M19" s="8" t="inlineStr">
        <is>
          <t>FY23 used “A Greening Future Promotes Flash Drought Risk…” and FY24 used “Elevates…”; matched by authors and research lineage.</t>
        </is>
      </c>
    </row>
    <row r="20">
      <c r="A20" s="8" t="n">
        <v>19</v>
      </c>
      <c r="B20" s="8" t="n">
        <v>2025</v>
      </c>
      <c r="C20" s="8" t="inlineStr">
        <is>
          <t>A scale-adaptive urban hydrologic framework: Incorporating network-level storm drainage pipes representation</t>
        </is>
      </c>
      <c r="D20" s="8" t="inlineStr">
        <is>
          <t>10.1029/2024wr037268</t>
        </is>
      </c>
      <c r="E20" s="8" t="inlineStr"/>
      <c r="F20" s="8" t="inlineStr"/>
      <c r="G20" s="8" t="inlineStr"/>
      <c r="H20" s="8" t="inlineStr"/>
      <c r="I20" s="10" t="inlineStr">
        <is>
          <t>Accepted / In press</t>
        </is>
      </c>
      <c r="J20" s="8" t="inlineStr">
        <is>
          <t>FY24: Accepted / In press</t>
        </is>
      </c>
      <c r="K20" s="8">
        <f>COUNTIF(E20:I20,"&lt;&gt;")</f>
        <v/>
      </c>
      <c r="L20" s="8">
        <f>IF(K20&gt;1,"Yes","No")</f>
        <v/>
      </c>
      <c r="M20" s="8" t="inlineStr"/>
    </row>
    <row r="21">
      <c r="A21" s="8" t="n">
        <v>20</v>
      </c>
      <c r="B21" s="8" t="n">
        <v>2025</v>
      </c>
      <c r="C21" s="8" t="inlineStr">
        <is>
          <t>An efficient hybrid downscaling framework to estimate high-resolution river hydrodynamics</t>
        </is>
      </c>
      <c r="D21" s="8" t="inlineStr">
        <is>
          <t>10.5194/hess-29-3833-2025</t>
        </is>
      </c>
      <c r="E21" s="8" t="inlineStr"/>
      <c r="F21" s="8" t="inlineStr"/>
      <c r="G21" s="8" t="inlineStr"/>
      <c r="H21" s="8" t="inlineStr"/>
      <c r="I21" s="9" t="inlineStr">
        <is>
          <t>Submitted / In review</t>
        </is>
      </c>
      <c r="J21" s="8" t="inlineStr">
        <is>
          <t>FY24: Submitted / In review</t>
        </is>
      </c>
      <c r="K21" s="8">
        <f>COUNTIF(E21:I21,"&lt;&gt;")</f>
        <v/>
      </c>
      <c r="L21" s="8">
        <f>IF(K21&gt;1,"Yes","No")</f>
        <v/>
      </c>
      <c r="M21" s="8" t="inlineStr"/>
    </row>
    <row r="22">
      <c r="A22" s="8" t="n">
        <v>21</v>
      </c>
      <c r="B22" s="8" t="n">
        <v>2025</v>
      </c>
      <c r="C22" s="8" t="inlineStr">
        <is>
          <t>Daytime urban heat stress in North America reduced by irrigation</t>
        </is>
      </c>
      <c r="D22" s="8" t="inlineStr">
        <is>
          <t>10.1038/s41561-024-01613-z</t>
        </is>
      </c>
      <c r="E22" s="8" t="inlineStr"/>
      <c r="F22" s="8" t="inlineStr"/>
      <c r="G22" s="8" t="inlineStr"/>
      <c r="H22" s="8" t="inlineStr"/>
      <c r="I22" s="10" t="inlineStr">
        <is>
          <t>Accepted / In press</t>
        </is>
      </c>
      <c r="J22" s="8" t="inlineStr">
        <is>
          <t>FY24: Accepted / In press</t>
        </is>
      </c>
      <c r="K22" s="8">
        <f>COUNTIF(E22:I22,"&lt;&gt;")</f>
        <v/>
      </c>
      <c r="L22" s="8">
        <f>IF(K22&gt;1,"Yes","No")</f>
        <v/>
      </c>
      <c r="M22" s="8" t="inlineStr"/>
    </row>
    <row r="23">
      <c r="A23" s="8" t="n">
        <v>22</v>
      </c>
      <c r="B23" s="8" t="n">
        <v>2025</v>
      </c>
      <c r="C23" s="8" t="inlineStr">
        <is>
          <t>Discrete Global Grid System-based Flow Routing Datasets in the Amazon and Yukon Basins</t>
        </is>
      </c>
      <c r="D23" s="8" t="inlineStr">
        <is>
          <t>10.5194/essd-17-2035-2025</t>
        </is>
      </c>
      <c r="E23" s="8" t="inlineStr"/>
      <c r="F23" s="8" t="inlineStr"/>
      <c r="G23" s="8" t="inlineStr"/>
      <c r="H23" s="8" t="inlineStr"/>
      <c r="I23" s="8" t="inlineStr"/>
      <c r="J23" s="8" t="inlineStr"/>
      <c r="K23" s="8">
        <f>COUNTIF(E23:I23,"&lt;&gt;")</f>
        <v/>
      </c>
      <c r="L23" s="8">
        <f>IF(K23&gt;1,"Yes","No")</f>
        <v/>
      </c>
      <c r="M23" s="8" t="inlineStr"/>
    </row>
    <row r="24">
      <c r="A24" s="8" t="n">
        <v>23</v>
      </c>
      <c r="B24" s="8" t="n">
        <v>2025</v>
      </c>
      <c r="C24" s="8" t="inlineStr">
        <is>
          <t>Enhanced flood synchrony and downstream severity in the Delaware River under rising temperatures</t>
        </is>
      </c>
      <c r="D24" s="8" t="inlineStr">
        <is>
          <t>10.1038/s43247-025-02243-y</t>
        </is>
      </c>
      <c r="E24" s="8" t="inlineStr"/>
      <c r="F24" s="8" t="inlineStr"/>
      <c r="G24" s="8" t="inlineStr"/>
      <c r="H24" s="8" t="inlineStr"/>
      <c r="I24" s="9" t="inlineStr">
        <is>
          <t>Submitted / In review</t>
        </is>
      </c>
      <c r="J24" s="8" t="inlineStr">
        <is>
          <t>FY24: Submitted / In review</t>
        </is>
      </c>
      <c r="K24" s="8">
        <f>COUNTIF(E24:I24,"&lt;&gt;")</f>
        <v/>
      </c>
      <c r="L24" s="8">
        <f>IF(K24&gt;1,"Yes","No")</f>
        <v/>
      </c>
      <c r="M24" s="8" t="inlineStr">
        <is>
          <t>FY24 used the working title “Climate warming enhances riverine flood synchrony and downstream severity.”</t>
        </is>
      </c>
    </row>
    <row r="25">
      <c r="A25" s="8" t="n">
        <v>24</v>
      </c>
      <c r="B25" s="8" t="n">
        <v>2025</v>
      </c>
      <c r="C25" s="8" t="inlineStr">
        <is>
          <t>Estimating extreme flood return levels in a U.S. mid-Atlantic estuary using continuous 40-year fluvial-coastal model simulations</t>
        </is>
      </c>
      <c r="D25" s="8" t="inlineStr">
        <is>
          <t>10.1038/s41597-025-05566-9</t>
        </is>
      </c>
      <c r="E25" s="8" t="inlineStr"/>
      <c r="F25" s="8" t="inlineStr"/>
      <c r="G25" s="8" t="inlineStr"/>
      <c r="H25" s="8" t="inlineStr"/>
      <c r="I25" s="9" t="inlineStr">
        <is>
          <t>Submitted / In review</t>
        </is>
      </c>
      <c r="J25" s="8" t="inlineStr">
        <is>
          <t>FY24: Submitted / In review</t>
        </is>
      </c>
      <c r="K25" s="8">
        <f>COUNTIF(E25:I25,"&lt;&gt;")</f>
        <v/>
      </c>
      <c r="L25" s="8">
        <f>IF(K25&gt;1,"Yes","No")</f>
        <v/>
      </c>
      <c r="M25" s="8" t="inlineStr"/>
    </row>
    <row r="26">
      <c r="A26" s="8" t="n">
        <v>25</v>
      </c>
      <c r="B26" s="8" t="n">
        <v>2025</v>
      </c>
      <c r="C26" s="8" t="inlineStr">
        <is>
          <t>Evaluation of Flow Routing on the Unstructured Voronoi Meshes in Earth System Modeling</t>
        </is>
      </c>
      <c r="D26" s="8" t="inlineStr">
        <is>
          <t>10.1029/2024ms004737</t>
        </is>
      </c>
      <c r="E26" s="8" t="inlineStr"/>
      <c r="F26" s="8" t="inlineStr"/>
      <c r="G26" s="8" t="inlineStr"/>
      <c r="H26" s="8" t="inlineStr"/>
      <c r="I26" s="9" t="inlineStr">
        <is>
          <t>Submitted / In review</t>
        </is>
      </c>
      <c r="J26" s="8" t="inlineStr">
        <is>
          <t>FY24: Submitted / In review</t>
        </is>
      </c>
      <c r="K26" s="8">
        <f>COUNTIF(E26:I26,"&lt;&gt;")</f>
        <v/>
      </c>
      <c r="L26" s="8">
        <f>IF(K26&gt;1,"Yes","No")</f>
        <v/>
      </c>
      <c r="M26" s="8" t="inlineStr"/>
    </row>
    <row r="27">
      <c r="A27" s="8" t="n">
        <v>26</v>
      </c>
      <c r="B27" s="8" t="n">
        <v>2025</v>
      </c>
      <c r="C27" s="8" t="inlineStr">
        <is>
          <t>Explaining drivers of housing prices with nonlinear hedonic regressions</t>
        </is>
      </c>
      <c r="D27" s="8" t="inlineStr">
        <is>
          <t>10.1016/j.mlwa.2025.100707</t>
        </is>
      </c>
      <c r="E27" s="8" t="inlineStr"/>
      <c r="F27" s="8" t="inlineStr"/>
      <c r="G27" s="8" t="inlineStr"/>
      <c r="H27" s="9" t="inlineStr">
        <is>
          <t>Submitted / In review</t>
        </is>
      </c>
      <c r="I27" s="9" t="inlineStr">
        <is>
          <t>Submitted / In review</t>
        </is>
      </c>
      <c r="J27" s="8" t="inlineStr">
        <is>
          <t>FY23: Submitted / In review; FY24: Submitted / In review</t>
        </is>
      </c>
      <c r="K27" s="8">
        <f>COUNTIF(E27:I27,"&lt;&gt;")</f>
        <v/>
      </c>
      <c r="L27" s="8">
        <f>IF(K27&gt;1,"Yes","No")</f>
        <v/>
      </c>
      <c r="M27" s="8" t="inlineStr">
        <is>
          <t>FY23 used the working title “Using interpretable machine learning to identify key patterns underlying home price dynamics.”</t>
        </is>
      </c>
    </row>
    <row r="28">
      <c r="A28" s="8" t="n">
        <v>27</v>
      </c>
      <c r="B28" s="8" t="n">
        <v>2025</v>
      </c>
      <c r="C28" s="8" t="inlineStr">
        <is>
          <t>Extending shared socioeconomic pathways to future water supply infrastructure scenarios: a case study of San Antonio, TX,</t>
        </is>
      </c>
      <c r="D28" s="8" t="inlineStr">
        <is>
          <t>10.1088/2515-7620/addeaa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>
        <f>COUNTIF(E28:I28,"&lt;&gt;")</f>
        <v/>
      </c>
      <c r="L28" s="8">
        <f>IF(K28&gt;1,"Yes","No")</f>
        <v/>
      </c>
      <c r="M28" s="8" t="inlineStr"/>
    </row>
    <row r="29">
      <c r="A29" s="8" t="n">
        <v>28</v>
      </c>
      <c r="B29" s="8" t="n">
        <v>2025</v>
      </c>
      <c r="C29" s="8" t="inlineStr">
        <is>
          <t>Faster recovery of North Atlantic tropical cyclone-induced cold wakes in recent decades</t>
        </is>
      </c>
      <c r="D29" s="8" t="inlineStr">
        <is>
          <t>10.1038/s41612-025-01029-5</t>
        </is>
      </c>
      <c r="E29" s="8" t="inlineStr"/>
      <c r="F29" s="8" t="inlineStr"/>
      <c r="G29" s="8" t="inlineStr"/>
      <c r="H29" s="8" t="inlineStr"/>
      <c r="I29" s="9" t="inlineStr">
        <is>
          <t>Submitted / In review</t>
        </is>
      </c>
      <c r="J29" s="8" t="inlineStr">
        <is>
          <t>FY24: Submitted / In review</t>
        </is>
      </c>
      <c r="K29" s="8">
        <f>COUNTIF(E29:I29,"&lt;&gt;")</f>
        <v/>
      </c>
      <c r="L29" s="8">
        <f>IF(K29&gt;1,"Yes","No")</f>
        <v/>
      </c>
      <c r="M29" s="8" t="inlineStr"/>
    </row>
    <row r="30">
      <c r="A30" s="8" t="n">
        <v>29</v>
      </c>
      <c r="B30" s="8" t="n">
        <v>2025</v>
      </c>
      <c r="C30" s="8" t="inlineStr">
        <is>
          <t>Future North Atlantic tropical cyclone intensities in modified historical environments</t>
        </is>
      </c>
      <c r="D30" s="8" t="inlineStr">
        <is>
          <t>10.1038/s41597-025-06186-z</t>
        </is>
      </c>
      <c r="E30" s="8" t="inlineStr"/>
      <c r="F30" s="8" t="inlineStr"/>
      <c r="G30" s="8" t="inlineStr"/>
      <c r="H30" s="8" t="inlineStr"/>
      <c r="I30" s="9" t="inlineStr">
        <is>
          <t>Submitted / In review</t>
        </is>
      </c>
      <c r="J30" s="8" t="inlineStr">
        <is>
          <t>FY24: Submitted / In review</t>
        </is>
      </c>
      <c r="K30" s="8">
        <f>COUNTIF(E30:I30,"&lt;&gt;")</f>
        <v/>
      </c>
      <c r="L30" s="8">
        <f>IF(K30&gt;1,"Yes","No")</f>
        <v/>
      </c>
      <c r="M30" s="8" t="inlineStr">
        <is>
          <t>FY24 used a working title describing projected North Atlantic tropical cyclone intensity through 2100.</t>
        </is>
      </c>
    </row>
    <row r="31">
      <c r="A31" s="8" t="n">
        <v>30</v>
      </c>
      <c r="B31" s="8" t="n">
        <v>2025</v>
      </c>
      <c r="C31" s="8" t="inlineStr">
        <is>
          <t>High-Resolution Model Intercomparison Project phase 2 (HighResMIP2) towards CMIP7</t>
        </is>
      </c>
      <c r="D31" s="8" t="inlineStr">
        <is>
          <t>10.5194/gmd-18-1307-2025</t>
        </is>
      </c>
      <c r="E31" s="8" t="inlineStr"/>
      <c r="F31" s="8" t="inlineStr"/>
      <c r="G31" s="8" t="inlineStr"/>
      <c r="H31" s="8" t="inlineStr"/>
      <c r="I31" s="9" t="inlineStr">
        <is>
          <t>Submitted / In review</t>
        </is>
      </c>
      <c r="J31" s="8" t="inlineStr">
        <is>
          <t>FY24: Submitted / In review</t>
        </is>
      </c>
      <c r="K31" s="8">
        <f>COUNTIF(E31:I31,"&lt;&gt;")</f>
        <v/>
      </c>
      <c r="L31" s="8">
        <f>IF(K31&gt;1,"Yes","No")</f>
        <v/>
      </c>
      <c r="M31" s="8" t="inlineStr"/>
    </row>
    <row r="32">
      <c r="A32" s="8" t="n">
        <v>31</v>
      </c>
      <c r="B32" s="8" t="n">
        <v>2025</v>
      </c>
      <c r="C32" s="8" t="inlineStr">
        <is>
          <t>HydroEcoLSTM: A Python package with graphical user interface for hydro-ecological modeling with long short-term memory neural network</t>
        </is>
      </c>
      <c r="D32" s="8" t="inlineStr">
        <is>
          <t>10.1016/j.ecoinf.2025.102994</t>
        </is>
      </c>
      <c r="E32" s="8" t="inlineStr"/>
      <c r="F32" s="8" t="inlineStr"/>
      <c r="G32" s="8" t="inlineStr"/>
      <c r="H32" s="8" t="inlineStr"/>
      <c r="I32" s="10" t="inlineStr">
        <is>
          <t>Accepted / In press</t>
        </is>
      </c>
      <c r="J32" s="8" t="inlineStr">
        <is>
          <t>FY24: Accepted / In press</t>
        </is>
      </c>
      <c r="K32" s="8">
        <f>COUNTIF(E32:I32,"&lt;&gt;")</f>
        <v/>
      </c>
      <c r="L32" s="8">
        <f>IF(K32&gt;1,"Yes","No")</f>
        <v/>
      </c>
      <c r="M32" s="8" t="inlineStr"/>
    </row>
    <row r="33">
      <c r="A33" s="8" t="n">
        <v>32</v>
      </c>
      <c r="B33" s="8" t="n">
        <v>2025</v>
      </c>
      <c r="C33" s="8" t="inlineStr">
        <is>
          <t>Improving the prediction of daily reservoir releases over the CONUS using conditioned LSTM</t>
        </is>
      </c>
      <c r="D33" s="8" t="inlineStr">
        <is>
          <t>10.1016/j.jhydrol.2025.133750</t>
        </is>
      </c>
      <c r="E33" s="8" t="inlineStr"/>
      <c r="F33" s="8" t="inlineStr"/>
      <c r="G33" s="8" t="inlineStr"/>
      <c r="H33" s="8" t="inlineStr"/>
      <c r="I33" s="9" t="inlineStr">
        <is>
          <t>Submitted / In review</t>
        </is>
      </c>
      <c r="J33" s="8" t="inlineStr">
        <is>
          <t>FY24: Submitted / In review</t>
        </is>
      </c>
      <c r="K33" s="8">
        <f>COUNTIF(E33:I33,"&lt;&gt;")</f>
        <v/>
      </c>
      <c r="L33" s="8">
        <f>IF(K33&gt;1,"Yes","No")</f>
        <v/>
      </c>
      <c r="M33" s="8" t="inlineStr"/>
    </row>
    <row r="34">
      <c r="A34" s="8" t="n">
        <v>33</v>
      </c>
      <c r="B34" s="8" t="n">
        <v>2025</v>
      </c>
      <c r="C34" s="8" t="inlineStr">
        <is>
          <t>Interactions Between Climate Mean and Variability Drive Future Agroecosystem Vulnerability</t>
        </is>
      </c>
      <c r="D34" s="8" t="inlineStr">
        <is>
          <t>10.1111/gcb.70064</t>
        </is>
      </c>
      <c r="E34" s="8" t="inlineStr"/>
      <c r="F34" s="8" t="inlineStr"/>
      <c r="G34" s="8" t="inlineStr"/>
      <c r="H34" s="8" t="inlineStr"/>
      <c r="I34" s="10" t="inlineStr">
        <is>
          <t>Accepted / In press</t>
        </is>
      </c>
      <c r="J34" s="8" t="inlineStr">
        <is>
          <t>FY24: Accepted / In press</t>
        </is>
      </c>
      <c r="K34" s="8">
        <f>COUNTIF(E34:I34,"&lt;&gt;")</f>
        <v/>
      </c>
      <c r="L34" s="8">
        <f>IF(K34&gt;1,"Yes","No")</f>
        <v/>
      </c>
      <c r="M34" s="8" t="inlineStr"/>
    </row>
    <row r="35">
      <c r="A35" s="8" t="n">
        <v>34</v>
      </c>
      <c r="B35" s="8" t="n">
        <v>2025</v>
      </c>
      <c r="C35" s="8" t="inlineStr">
        <is>
          <t>Multi-decade analysis of flood risks to community infrastructure in Philadelphia</t>
        </is>
      </c>
      <c r="D35" s="8" t="inlineStr">
        <is>
          <t>10.1016/j.ijdrr.2025.105825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>
        <f>COUNTIF(E35:I35,"&lt;&gt;")</f>
        <v/>
      </c>
      <c r="L35" s="8">
        <f>IF(K35&gt;1,"Yes","No")</f>
        <v/>
      </c>
      <c r="M35" s="8" t="inlineStr"/>
    </row>
    <row r="36">
      <c r="A36" s="8" t="n">
        <v>35</v>
      </c>
      <c r="B36" s="8" t="n">
        <v>2025</v>
      </c>
      <c r="C36" s="8" t="inlineStr">
        <is>
          <t>Nonlinear behavior of urban flood peaks in the U.S. Mid-Atlantic region</t>
        </is>
      </c>
      <c r="D36" s="8" t="inlineStr">
        <is>
          <t>10.2166/hydro.2025.005</t>
        </is>
      </c>
      <c r="E36" s="8" t="inlineStr"/>
      <c r="F36" s="8" t="inlineStr"/>
      <c r="G36" s="8" t="inlineStr"/>
      <c r="H36" s="8" t="inlineStr"/>
      <c r="I36" s="9" t="inlineStr">
        <is>
          <t>Submitted / In review</t>
        </is>
      </c>
      <c r="J36" s="8" t="inlineStr">
        <is>
          <t>FY24: Submitted / In review</t>
        </is>
      </c>
      <c r="K36" s="8">
        <f>COUNTIF(E36:I36,"&lt;&gt;")</f>
        <v/>
      </c>
      <c r="L36" s="8">
        <f>IF(K36&gt;1,"Yes","No")</f>
        <v/>
      </c>
      <c r="M36" s="8" t="inlineStr">
        <is>
          <t>FY24 used the working title “Flood nonlinear behavior analysis in mid-Atlantic region.”</t>
        </is>
      </c>
    </row>
    <row r="37">
      <c r="A37" s="8" t="n">
        <v>36</v>
      </c>
      <c r="B37" s="8" t="n">
        <v>2025</v>
      </c>
      <c r="C37" s="8" t="inlineStr">
        <is>
          <t>Projected increases in tropical cyclone-induced U.S. electric power outage risk</t>
        </is>
      </c>
      <c r="D37" s="8" t="inlineStr">
        <is>
          <t>10.1088/1748-9326/adad85</t>
        </is>
      </c>
      <c r="E37" s="8" t="inlineStr"/>
      <c r="F37" s="8" t="inlineStr"/>
      <c r="G37" s="8" t="inlineStr"/>
      <c r="H37" s="8" t="inlineStr"/>
      <c r="I37" s="10" t="inlineStr">
        <is>
          <t>Accepted / In press</t>
        </is>
      </c>
      <c r="J37" s="8" t="inlineStr">
        <is>
          <t>FY24: Accepted / In press</t>
        </is>
      </c>
      <c r="K37" s="8">
        <f>COUNTIF(E37:I37,"&lt;&gt;")</f>
        <v/>
      </c>
      <c r="L37" s="8">
        <f>IF(K37&gt;1,"Yes","No")</f>
        <v/>
      </c>
      <c r="M37" s="8" t="inlineStr"/>
    </row>
    <row r="38">
      <c r="A38" s="8" t="n">
        <v>37</v>
      </c>
      <c r="B38" s="8" t="n">
        <v>2025</v>
      </c>
      <c r="C38" s="8" t="inlineStr">
        <is>
          <t>Projecting global and regional changes in tropical cyclones and their potential impacts</t>
        </is>
      </c>
      <c r="D38" s="8" t="inlineStr">
        <is>
          <t>10.1016/b978-0-323-95390-0.00011-x</t>
        </is>
      </c>
      <c r="E38" s="8" t="inlineStr"/>
      <c r="F38" s="8" t="inlineStr"/>
      <c r="G38" s="8" t="inlineStr"/>
      <c r="H38" s="8" t="inlineStr"/>
      <c r="I38" s="10" t="inlineStr">
        <is>
          <t>Accepted / In press</t>
        </is>
      </c>
      <c r="J38" s="8" t="inlineStr">
        <is>
          <t>FY24: Accepted / In press</t>
        </is>
      </c>
      <c r="K38" s="8">
        <f>COUNTIF(E38:I38,"&lt;&gt;")</f>
        <v/>
      </c>
      <c r="L38" s="8">
        <f>IF(K38&gt;1,"Yes","No")</f>
        <v/>
      </c>
      <c r="M38" s="8" t="inlineStr"/>
    </row>
    <row r="39">
      <c r="A39" s="8" t="n">
        <v>38</v>
      </c>
      <c r="B39" s="8" t="n">
        <v>2025</v>
      </c>
      <c r="C39" s="8" t="inlineStr">
        <is>
          <t>Projecting U.S. coastal storm surge risks and impacts with deep learning</t>
        </is>
      </c>
      <c r="D39" s="8" t="inlineStr">
        <is>
          <t>10.1088/1748-9326/adfd74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>
        <f>COUNTIF(E39:I39,"&lt;&gt;")</f>
        <v/>
      </c>
      <c r="L39" s="8">
        <f>IF(K39&gt;1,"Yes","No")</f>
        <v/>
      </c>
      <c r="M39" s="8" t="inlineStr"/>
    </row>
    <row r="40">
      <c r="A40" s="8" t="n">
        <v>39</v>
      </c>
      <c r="B40" s="8" t="n">
        <v>2025</v>
      </c>
      <c r="C40" s="8" t="inlineStr">
        <is>
          <t>The interplay of future emissions and geophysical uncertainties for projections of sea-level rise</t>
        </is>
      </c>
      <c r="D40" s="8" t="inlineStr">
        <is>
          <t>10.1038/s41558-025-02457-0</t>
        </is>
      </c>
      <c r="E40" s="8" t="inlineStr"/>
      <c r="F40" s="8" t="inlineStr"/>
      <c r="G40" s="8" t="inlineStr"/>
      <c r="H40" s="8" t="inlineStr"/>
      <c r="I40" s="9" t="inlineStr">
        <is>
          <t>Submitted / In review</t>
        </is>
      </c>
      <c r="J40" s="8" t="inlineStr">
        <is>
          <t>FY24: Submitted / In review</t>
        </is>
      </c>
      <c r="K40" s="8">
        <f>COUNTIF(E40:I40,"&lt;&gt;")</f>
        <v/>
      </c>
      <c r="L40" s="8">
        <f>IF(K40&gt;1,"Yes","No")</f>
        <v/>
      </c>
      <c r="M40" s="8" t="inlineStr"/>
    </row>
    <row r="41">
      <c r="A41" s="8" t="n">
        <v>40</v>
      </c>
      <c r="B41" s="8" t="n">
        <v>2025</v>
      </c>
      <c r="C41" s="8" t="inlineStr">
        <is>
          <t>U-Surf: a global 1 km spatially continuous urban surface property dataset for kilometer-scale urban-resolving Earth system modeling</t>
        </is>
      </c>
      <c r="D41" s="8" t="inlineStr">
        <is>
          <t>10.5194/essd-17-2147-2025</t>
        </is>
      </c>
      <c r="E41" s="8" t="inlineStr"/>
      <c r="F41" s="8" t="inlineStr"/>
      <c r="G41" s="8" t="inlineStr"/>
      <c r="H41" s="8" t="inlineStr"/>
      <c r="I41" s="10" t="inlineStr">
        <is>
          <t>Accepted / In press</t>
        </is>
      </c>
      <c r="J41" s="8" t="inlineStr">
        <is>
          <t>FY24: Accepted / In press</t>
        </is>
      </c>
      <c r="K41" s="8">
        <f>COUNTIF(E41:I41,"&lt;&gt;")</f>
        <v/>
      </c>
      <c r="L41" s="8">
        <f>IF(K41&gt;1,"Yes","No")</f>
        <v/>
      </c>
      <c r="M41" s="8" t="inlineStr"/>
    </row>
    <row r="42">
      <c r="A42" s="8" t="n">
        <v>41</v>
      </c>
      <c r="B42" s="8" t="n">
        <v>2025</v>
      </c>
      <c r="C42" s="8" t="inlineStr">
        <is>
          <t>Uncertainty in Household Behavior Drives Large Variation in the Size of the Levee Effect</t>
        </is>
      </c>
      <c r="D42" s="8" t="inlineStr">
        <is>
          <t>10.1111/jfr3.70131</t>
        </is>
      </c>
      <c r="E42" s="8" t="inlineStr"/>
      <c r="F42" s="8" t="inlineStr"/>
      <c r="G42" s="8" t="inlineStr"/>
      <c r="H42" s="8" t="inlineStr"/>
      <c r="I42" s="9" t="inlineStr">
        <is>
          <t>Submitted / In review</t>
        </is>
      </c>
      <c r="J42" s="8" t="inlineStr">
        <is>
          <t>FY24: Submitted / In review</t>
        </is>
      </c>
      <c r="K42" s="8">
        <f>COUNTIF(E42:I42,"&lt;&gt;")</f>
        <v/>
      </c>
      <c r="L42" s="8">
        <f>IF(K42&gt;1,"Yes","No")</f>
        <v/>
      </c>
      <c r="M42" s="8" t="inlineStr"/>
    </row>
    <row r="43">
      <c r="A43" s="8" t="n">
        <v>42</v>
      </c>
      <c r="B43" s="8" t="n">
        <v>2025</v>
      </c>
      <c r="C43" s="8" t="inlineStr">
        <is>
          <t>Understanding the Recent Increase in Landfalling Tropical Cyclones Over Florida’s Gulf Coast</t>
        </is>
      </c>
      <c r="D43" s="8" t="inlineStr">
        <is>
          <t>10.1029/2025gl117429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>
        <f>COUNTIF(E43:I43,"&lt;&gt;")</f>
        <v/>
      </c>
      <c r="L43" s="8">
        <f>IF(K43&gt;1,"Yes","No")</f>
        <v/>
      </c>
      <c r="M43" s="8" t="inlineStr"/>
    </row>
    <row r="44">
      <c r="A44" s="8" t="n">
        <v>43</v>
      </c>
      <c r="B44" s="8" t="n">
        <v>2025</v>
      </c>
      <c r="C44" s="8" t="inlineStr">
        <is>
          <t>UNSAFE: An UNcertain Structure And Fragility Ensemble framework for property-level flood risk estimation</t>
        </is>
      </c>
      <c r="D44" s="8" t="inlineStr">
        <is>
          <t>10.21105/joss.07527</t>
        </is>
      </c>
      <c r="E44" s="8" t="inlineStr"/>
      <c r="F44" s="8" t="inlineStr"/>
      <c r="G44" s="8" t="inlineStr"/>
      <c r="H44" s="8" t="inlineStr"/>
      <c r="I44" s="9" t="inlineStr">
        <is>
          <t>Submitted / In review</t>
        </is>
      </c>
      <c r="J44" s="8" t="inlineStr">
        <is>
          <t>FY24: Submitted / In review</t>
        </is>
      </c>
      <c r="K44" s="8">
        <f>COUNTIF(E44:I44,"&lt;&gt;")</f>
        <v/>
      </c>
      <c r="L44" s="8">
        <f>IF(K44&gt;1,"Yes","No")</f>
        <v/>
      </c>
      <c r="M44" s="8" t="inlineStr"/>
    </row>
    <row r="45">
      <c r="A45" s="8" t="n">
        <v>44</v>
      </c>
      <c r="B45" s="8" t="n">
        <v>2025</v>
      </c>
      <c r="C45" s="8" t="inlineStr">
        <is>
          <t>Urban Climate Adaptation and REsilience (U-CARE) in Texas: Insights from Interdisciplinary Perspectives</t>
        </is>
      </c>
      <c r="D45" s="8" t="inlineStr">
        <is>
          <t>10.1007/s12061-025-09655-5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>
        <f>COUNTIF(E45:I45,"&lt;&gt;")</f>
        <v/>
      </c>
      <c r="L45" s="8">
        <f>IF(K45&gt;1,"Yes","No")</f>
        <v/>
      </c>
      <c r="M45" s="8" t="inlineStr"/>
    </row>
    <row r="46">
      <c r="A46" s="8" t="n">
        <v>45</v>
      </c>
      <c r="B46" s="8" t="n">
        <v>2024</v>
      </c>
      <c r="C46" s="8" t="inlineStr">
        <is>
          <t>A global increase in nearshore tropical cyclone intensification</t>
        </is>
      </c>
      <c r="D46" s="8" t="inlineStr">
        <is>
          <t>10.1029/2023ef004230</t>
        </is>
      </c>
      <c r="E46" s="8" t="inlineStr"/>
      <c r="F46" s="8" t="inlineStr"/>
      <c r="G46" s="8" t="inlineStr"/>
      <c r="H46" s="9" t="inlineStr">
        <is>
          <t>Submitted / In review</t>
        </is>
      </c>
      <c r="I46" s="11" t="inlineStr">
        <is>
          <t>Published / Indexed</t>
        </is>
      </c>
      <c r="J46" s="8" t="inlineStr">
        <is>
          <t>FY23: Submitted / In review; FY24: Published / Indexed</t>
        </is>
      </c>
      <c r="K46" s="8">
        <f>COUNTIF(E46:I46,"&lt;&gt;")</f>
        <v/>
      </c>
      <c r="L46" s="8">
        <f>IF(K46&gt;1,"Yes","No")</f>
        <v/>
      </c>
      <c r="M46" s="8" t="inlineStr">
        <is>
          <t>FY23 listed this before publication as a submitted nearshore intensification manuscript.</t>
        </is>
      </c>
    </row>
    <row r="47">
      <c r="A47" s="8" t="n">
        <v>46</v>
      </c>
      <c r="B47" s="8" t="n">
        <v>2024</v>
      </c>
      <c r="C47" s="8" t="inlineStr">
        <is>
          <t>A multiple-algorithm approach for modeling coastal wetland eco-geomorphology</t>
        </is>
      </c>
      <c r="D47" s="8" t="inlineStr">
        <is>
          <t>10.3389/feart.2024.1421265</t>
        </is>
      </c>
      <c r="E47" s="8" t="inlineStr"/>
      <c r="F47" s="9" t="inlineStr">
        <is>
          <t>Submitted / In review</t>
        </is>
      </c>
      <c r="G47" s="9" t="inlineStr">
        <is>
          <t>Submitted / In review</t>
        </is>
      </c>
      <c r="H47" s="9" t="inlineStr">
        <is>
          <t>Submitted / In review</t>
        </is>
      </c>
      <c r="I47" s="11" t="inlineStr">
        <is>
          <t>Published / Indexed</t>
        </is>
      </c>
      <c r="J47" s="8" t="inlineStr">
        <is>
          <t>FY21: Submitted / In review; FY22: Submitted / In review; FY23: Submitted / In review; FY24: Published / Indexed</t>
        </is>
      </c>
      <c r="K47" s="8">
        <f>COUNTIF(E47:I47,"&lt;&gt;")</f>
        <v/>
      </c>
      <c r="L47" s="8">
        <f>IF(K47&gt;1,"Yes","No")</f>
        <v/>
      </c>
      <c r="M47" s="8" t="inlineStr"/>
    </row>
    <row r="48">
      <c r="A48" s="8" t="n">
        <v>47</v>
      </c>
      <c r="B48" s="8" t="n">
        <v>2024</v>
      </c>
      <c r="C48" s="8" t="inlineStr">
        <is>
          <t>A North Atlantic synthetic tropical cyclone track, intensity, and rainfall dataset</t>
        </is>
      </c>
      <c r="D48" s="8" t="inlineStr">
        <is>
          <t>10.1038/s41597-024-02952-7</t>
        </is>
      </c>
      <c r="E48" s="8" t="inlineStr"/>
      <c r="F48" s="8" t="inlineStr"/>
      <c r="G48" s="8" t="inlineStr"/>
      <c r="H48" s="9" t="inlineStr">
        <is>
          <t>Submitted / In review</t>
        </is>
      </c>
      <c r="I48" s="11" t="inlineStr">
        <is>
          <t>Published / Indexed</t>
        </is>
      </c>
      <c r="J48" s="8" t="inlineStr">
        <is>
          <t>FY23: Submitted / In review; FY24: Published / Indexed</t>
        </is>
      </c>
      <c r="K48" s="8">
        <f>COUNTIF(E48:I48,"&lt;&gt;")</f>
        <v/>
      </c>
      <c r="L48" s="8">
        <f>IF(K48&gt;1,"Yes","No")</f>
        <v/>
      </c>
      <c r="M48" s="8" t="inlineStr"/>
    </row>
    <row r="49">
      <c r="A49" s="8" t="n">
        <v>48</v>
      </c>
      <c r="B49" s="8" t="n">
        <v>2024</v>
      </c>
      <c r="C49" s="8" t="inlineStr">
        <is>
          <t>Amplified extreme floods and shifting flood mechanisms in the Delaware river basin in future climates</t>
        </is>
      </c>
      <c r="D49" s="8" t="inlineStr">
        <is>
          <t>10.1029/2023ef003868</t>
        </is>
      </c>
      <c r="E49" s="8" t="inlineStr"/>
      <c r="F49" s="8" t="inlineStr"/>
      <c r="G49" s="8" t="inlineStr"/>
      <c r="H49" s="9" t="inlineStr">
        <is>
          <t>Submitted / In review</t>
        </is>
      </c>
      <c r="I49" s="11" t="inlineStr">
        <is>
          <t>Published / Indexed</t>
        </is>
      </c>
      <c r="J49" s="8" t="inlineStr">
        <is>
          <t>FY23: Submitted / In review; FY24: Published / Indexed</t>
        </is>
      </c>
      <c r="K49" s="8">
        <f>COUNTIF(E49:I49,"&lt;&gt;")</f>
        <v/>
      </c>
      <c r="L49" s="8">
        <f>IF(K49&gt;1,"Yes","No")</f>
        <v/>
      </c>
      <c r="M49" s="8" t="inlineStr"/>
    </row>
    <row r="50">
      <c r="A50" s="8" t="n">
        <v>49</v>
      </c>
      <c r="B50" s="8" t="n">
        <v>2024</v>
      </c>
      <c r="C50" s="8" t="inlineStr">
        <is>
          <t>Amplified Threat Of Tropical Cyclones To Us Offshore Wind Energy In A Changing Climate</t>
        </is>
      </c>
      <c r="D50" s="8" t="inlineStr">
        <is>
          <t>10.1038/s43247-024-01887-6</t>
        </is>
      </c>
      <c r="E50" s="8" t="inlineStr"/>
      <c r="F50" s="8" t="inlineStr"/>
      <c r="G50" s="8" t="inlineStr"/>
      <c r="H50" s="8" t="inlineStr"/>
      <c r="I50" s="11" t="inlineStr">
        <is>
          <t>Published / Indexed</t>
        </is>
      </c>
      <c r="J50" s="8" t="inlineStr">
        <is>
          <t>FY24: Published / Indexed</t>
        </is>
      </c>
      <c r="K50" s="8">
        <f>COUNTIF(E50:I50,"&lt;&gt;")</f>
        <v/>
      </c>
      <c r="L50" s="8">
        <f>IF(K50&gt;1,"Yes","No")</f>
        <v/>
      </c>
      <c r="M50" s="8" t="inlineStr"/>
    </row>
    <row r="51">
      <c r="A51" s="8" t="n">
        <v>50</v>
      </c>
      <c r="B51" s="8" t="n">
        <v>2024</v>
      </c>
      <c r="C51" s="8" t="inlineStr">
        <is>
          <t>Climate change will reduce North American inland wetland areas and disrupt their seasonal regimes</t>
        </is>
      </c>
      <c r="D51" s="8" t="inlineStr">
        <is>
          <t>10.1038/s41467-024-45286-z</t>
        </is>
      </c>
      <c r="E51" s="8" t="inlineStr"/>
      <c r="F51" s="8" t="inlineStr"/>
      <c r="G51" s="8" t="inlineStr"/>
      <c r="H51" s="9" t="inlineStr">
        <is>
          <t>Submitted / In review</t>
        </is>
      </c>
      <c r="I51" s="11" t="inlineStr">
        <is>
          <t>Published / Indexed</t>
        </is>
      </c>
      <c r="J51" s="8" t="inlineStr">
        <is>
          <t>FY23: Submitted / In review; FY24: Published / Indexed</t>
        </is>
      </c>
      <c r="K51" s="8">
        <f>COUNTIF(E51:I51,"&lt;&gt;")</f>
        <v/>
      </c>
      <c r="L51" s="8">
        <f>IF(K51&gt;1,"Yes","No")</f>
        <v/>
      </c>
      <c r="M51" s="8" t="inlineStr"/>
    </row>
    <row r="52">
      <c r="A52" s="8" t="n">
        <v>51</v>
      </c>
      <c r="B52" s="8" t="n">
        <v>2024</v>
      </c>
      <c r="C52" s="8" t="inlineStr">
        <is>
          <t>Disentangling the hydrological and hydraulic controls on streamflow variability in Energy Exascale Earth System Model (E3SM) V2 - a case study in the Pantanal region</t>
        </is>
      </c>
      <c r="D52" s="8" t="inlineStr">
        <is>
          <t>10.5194/gmd-17-1197-2024</t>
        </is>
      </c>
      <c r="E52" s="8" t="inlineStr"/>
      <c r="F52" s="8" t="inlineStr"/>
      <c r="G52" s="8" t="inlineStr"/>
      <c r="H52" s="9" t="inlineStr">
        <is>
          <t>Submitted / In review</t>
        </is>
      </c>
      <c r="I52" s="11" t="inlineStr">
        <is>
          <t>Published / Indexed</t>
        </is>
      </c>
      <c r="J52" s="8" t="inlineStr">
        <is>
          <t>FY23: Submitted / In review; FY24: Published / Indexed</t>
        </is>
      </c>
      <c r="K52" s="8">
        <f>COUNTIF(E52:I52,"&lt;&gt;")</f>
        <v/>
      </c>
      <c r="L52" s="8">
        <f>IF(K52&gt;1,"Yes","No")</f>
        <v/>
      </c>
      <c r="M52" s="8" t="inlineStr"/>
    </row>
    <row r="53">
      <c r="A53" s="8" t="n">
        <v>52</v>
      </c>
      <c r="B53" s="8" t="n">
        <v>2024</v>
      </c>
      <c r="C53" s="8" t="inlineStr">
        <is>
          <t>Estuarine hurricane wind can intensify surge-dominated extreme water level in shallow and converging coastal systems</t>
        </is>
      </c>
      <c r="D53" s="8" t="inlineStr">
        <is>
          <t>10.5194/nhess-24-2461-2024</t>
        </is>
      </c>
      <c r="E53" s="8" t="inlineStr"/>
      <c r="F53" s="8" t="inlineStr"/>
      <c r="G53" s="8" t="inlineStr"/>
      <c r="H53" s="9" t="inlineStr">
        <is>
          <t>Submitted / In review</t>
        </is>
      </c>
      <c r="I53" s="11" t="inlineStr">
        <is>
          <t>Published / Indexed</t>
        </is>
      </c>
      <c r="J53" s="8" t="inlineStr">
        <is>
          <t>FY23: Submitted / In review; FY24: Published / Indexed</t>
        </is>
      </c>
      <c r="K53" s="8">
        <f>COUNTIF(E53:I53,"&lt;&gt;")</f>
        <v/>
      </c>
      <c r="L53" s="8">
        <f>IF(K53&gt;1,"Yes","No")</f>
        <v/>
      </c>
      <c r="M53" s="8" t="inlineStr"/>
    </row>
    <row r="54">
      <c r="A54" s="8" t="n">
        <v>53</v>
      </c>
      <c r="B54" s="8" t="n">
        <v>2024</v>
      </c>
      <c r="C54" s="8" t="inlineStr">
        <is>
          <t>Generalized Relationship Linking Water Balance and Vegetation Productivity across Site-to-Regional Scales</t>
        </is>
      </c>
      <c r="D54" s="8" t="inlineStr">
        <is>
          <t>10.1061/jhyeff.heeng-6163</t>
        </is>
      </c>
      <c r="E54" s="8" t="inlineStr"/>
      <c r="F54" s="8" t="inlineStr"/>
      <c r="G54" s="8" t="inlineStr"/>
      <c r="H54" s="8" t="inlineStr"/>
      <c r="I54" s="11" t="inlineStr">
        <is>
          <t>Published / Indexed</t>
        </is>
      </c>
      <c r="J54" s="8" t="inlineStr">
        <is>
          <t>FY24: Published / Indexed</t>
        </is>
      </c>
      <c r="K54" s="8">
        <f>COUNTIF(E54:I54,"&lt;&gt;")</f>
        <v/>
      </c>
      <c r="L54" s="8">
        <f>IF(K54&gt;1,"Yes","No")</f>
        <v/>
      </c>
      <c r="M54" s="8" t="inlineStr"/>
    </row>
    <row r="55">
      <c r="A55" s="8" t="n">
        <v>54</v>
      </c>
      <c r="B55" s="8" t="n">
        <v>2024</v>
      </c>
      <c r="C55" s="8" t="inlineStr">
        <is>
          <t>Global 1-km land surface parameters for kilometer-scale Earth system modeling</t>
        </is>
      </c>
      <c r="D55" s="8" t="inlineStr">
        <is>
          <t>10.5194/essd-16-2007-2024</t>
        </is>
      </c>
      <c r="E55" s="8" t="inlineStr"/>
      <c r="F55" s="8" t="inlineStr"/>
      <c r="G55" s="8" t="inlineStr"/>
      <c r="H55" s="9" t="inlineStr">
        <is>
          <t>Submitted / In review</t>
        </is>
      </c>
      <c r="I55" s="11" t="inlineStr">
        <is>
          <t>Published / Indexed</t>
        </is>
      </c>
      <c r="J55" s="8" t="inlineStr">
        <is>
          <t>FY23: Submitted / In review; FY24: Published / Indexed</t>
        </is>
      </c>
      <c r="K55" s="8">
        <f>COUNTIF(E55:I55,"&lt;&gt;")</f>
        <v/>
      </c>
      <c r="L55" s="8">
        <f>IF(K55&gt;1,"Yes","No")</f>
        <v/>
      </c>
      <c r="M55" s="8" t="inlineStr"/>
    </row>
    <row r="56">
      <c r="A56" s="8" t="n">
        <v>55</v>
      </c>
      <c r="B56" s="8" t="n">
        <v>2024</v>
      </c>
      <c r="C56" s="8" t="inlineStr">
        <is>
          <t>Graph Neural Differential Equations for Coarse-Grained Socioeconomic Dynamics</t>
        </is>
      </c>
      <c r="D56" s="8" t="inlineStr">
        <is>
          <t>10.1007/978-3-031-89692-7_15</t>
        </is>
      </c>
      <c r="E56" s="8" t="inlineStr"/>
      <c r="F56" s="8" t="inlineStr"/>
      <c r="G56" s="8" t="inlineStr"/>
      <c r="H56" s="8" t="inlineStr"/>
      <c r="I56" s="10" t="inlineStr">
        <is>
          <t>Accepted / In press</t>
        </is>
      </c>
      <c r="J56" s="8" t="inlineStr">
        <is>
          <t>FY24: Accepted / In press</t>
        </is>
      </c>
      <c r="K56" s="8">
        <f>COUNTIF(E56:I56,"&lt;&gt;")</f>
        <v/>
      </c>
      <c r="L56" s="8">
        <f>IF(K56&gt;1,"Yes","No")</f>
        <v/>
      </c>
      <c r="M56" s="8" t="inlineStr">
        <is>
          <t>FY24 used “Graph neural ordinary differential equations…”; tracker final title uses “Graph Neural Differential Equations…”.</t>
        </is>
      </c>
    </row>
    <row r="57">
      <c r="A57" s="8" t="n">
        <v>56</v>
      </c>
      <c r="B57" s="8" t="n">
        <v>2024</v>
      </c>
      <c r="C57" s="8" t="inlineStr">
        <is>
          <t>Impacts of sea-level rise on coastal groundwater table simulated by an Earth system model with a land-ocean coupling scheme</t>
        </is>
      </c>
      <c r="D57" s="8" t="inlineStr">
        <is>
          <t>10.1029/2024ef004479</t>
        </is>
      </c>
      <c r="E57" s="8" t="inlineStr"/>
      <c r="F57" s="8" t="inlineStr"/>
      <c r="G57" s="8" t="inlineStr"/>
      <c r="H57" s="8" t="inlineStr"/>
      <c r="I57" s="11" t="inlineStr">
        <is>
          <t>Published / Indexed</t>
        </is>
      </c>
      <c r="J57" s="8" t="inlineStr">
        <is>
          <t>FY24: Published / Indexed</t>
        </is>
      </c>
      <c r="K57" s="8">
        <f>COUNTIF(E57:I57,"&lt;&gt;")</f>
        <v/>
      </c>
      <c r="L57" s="8">
        <f>IF(K57&gt;1,"Yes","No")</f>
        <v/>
      </c>
      <c r="M57" s="8" t="inlineStr"/>
    </row>
    <row r="58">
      <c r="A58" s="8" t="n">
        <v>57</v>
      </c>
      <c r="B58" s="8" t="n">
        <v>2024</v>
      </c>
      <c r="C58" s="8" t="inlineStr">
        <is>
          <t>Intensification of future subsurface marine heatwaves in an eddy-resolving model</t>
        </is>
      </c>
      <c r="D58" s="8" t="inlineStr">
        <is>
          <t>10.1038/s41467-024-54946-z</t>
        </is>
      </c>
      <c r="E58" s="8" t="inlineStr"/>
      <c r="F58" s="8" t="inlineStr"/>
      <c r="G58" s="8" t="inlineStr"/>
      <c r="H58" s="8" t="inlineStr"/>
      <c r="I58" s="11" t="inlineStr">
        <is>
          <t>Published / Indexed</t>
        </is>
      </c>
      <c r="J58" s="8" t="inlineStr">
        <is>
          <t>FY24: Published / Indexed</t>
        </is>
      </c>
      <c r="K58" s="8">
        <f>COUNTIF(E58:I58,"&lt;&gt;")</f>
        <v/>
      </c>
      <c r="L58" s="8">
        <f>IF(K58&gt;1,"Yes","No")</f>
        <v/>
      </c>
      <c r="M58" s="8" t="inlineStr"/>
    </row>
    <row r="59">
      <c r="A59" s="8" t="n">
        <v>58</v>
      </c>
      <c r="B59" s="8" t="n">
        <v>2024</v>
      </c>
      <c r="C59" s="8" t="inlineStr">
        <is>
          <t>Large disagreements in estimates of urban land across scales and their implications</t>
        </is>
      </c>
      <c r="D59" s="8" t="inlineStr">
        <is>
          <t>10.1038/s41467-024-52241-5</t>
        </is>
      </c>
      <c r="E59" s="8" t="inlineStr"/>
      <c r="F59" s="8" t="inlineStr"/>
      <c r="G59" s="8" t="inlineStr"/>
      <c r="H59" s="8" t="inlineStr"/>
      <c r="I59" s="11" t="inlineStr">
        <is>
          <t>Published / Indexed</t>
        </is>
      </c>
      <c r="J59" s="8" t="inlineStr">
        <is>
          <t>FY24: Published / Indexed</t>
        </is>
      </c>
      <c r="K59" s="8">
        <f>COUNTIF(E59:I59,"&lt;&gt;")</f>
        <v/>
      </c>
      <c r="L59" s="8">
        <f>IF(K59&gt;1,"Yes","No")</f>
        <v/>
      </c>
      <c r="M59" s="8" t="inlineStr"/>
    </row>
    <row r="60">
      <c r="A60" s="8" t="n">
        <v>59</v>
      </c>
      <c r="B60" s="8" t="n">
        <v>2024</v>
      </c>
      <c r="C60" s="8" t="inlineStr">
        <is>
          <t>Local time-stepping for the shallow water equations using CFL optimized forward-backward Runge-Kutta schemes</t>
        </is>
      </c>
      <c r="D60" s="8" t="inlineStr">
        <is>
          <t>10.1016/j.jcp.2024.113511</t>
        </is>
      </c>
      <c r="E60" s="8" t="inlineStr"/>
      <c r="F60" s="8" t="inlineStr"/>
      <c r="G60" s="8" t="inlineStr"/>
      <c r="H60" s="8" t="inlineStr"/>
      <c r="I60" s="11" t="inlineStr">
        <is>
          <t>Published / Indexed</t>
        </is>
      </c>
      <c r="J60" s="8" t="inlineStr">
        <is>
          <t>FY24: Published / Indexed</t>
        </is>
      </c>
      <c r="K60" s="8">
        <f>COUNTIF(E60:I60,"&lt;&gt;")</f>
        <v/>
      </c>
      <c r="L60" s="8">
        <f>IF(K60&gt;1,"Yes","No")</f>
        <v/>
      </c>
      <c r="M60" s="8" t="inlineStr"/>
    </row>
    <row r="61">
      <c r="A61" s="8" t="n">
        <v>60</v>
      </c>
      <c r="B61" s="8" t="n">
        <v>2024</v>
      </c>
      <c r="C61" s="8" t="inlineStr">
        <is>
          <t>Observed increase in tropical cyclone-induced sea surface cooling near the U.S</t>
        </is>
      </c>
      <c r="D61" s="8" t="inlineStr">
        <is>
          <t>10.1029/2024gl110087</t>
        </is>
      </c>
      <c r="E61" s="8" t="inlineStr"/>
      <c r="F61" s="8" t="inlineStr"/>
      <c r="G61" s="8" t="inlineStr"/>
      <c r="H61" s="8" t="inlineStr"/>
      <c r="I61" s="11" t="inlineStr">
        <is>
          <t>Published / Indexed</t>
        </is>
      </c>
      <c r="J61" s="8" t="inlineStr">
        <is>
          <t>FY24: Published / Indexed</t>
        </is>
      </c>
      <c r="K61" s="8">
        <f>COUNTIF(E61:I61,"&lt;&gt;")</f>
        <v/>
      </c>
      <c r="L61" s="8">
        <f>IF(K61&gt;1,"Yes","No")</f>
        <v/>
      </c>
      <c r="M61" s="8" t="inlineStr"/>
    </row>
    <row r="62">
      <c r="A62" s="8" t="n">
        <v>61</v>
      </c>
      <c r="B62" s="8" t="n">
        <v>2024</v>
      </c>
      <c r="C62" s="8" t="inlineStr">
        <is>
          <t>On the sensitivity of coastal hypoxia to its external physical forcings</t>
        </is>
      </c>
      <c r="D62" s="8" t="inlineStr">
        <is>
          <t>10.1029/2023ms003845</t>
        </is>
      </c>
      <c r="E62" s="8" t="inlineStr"/>
      <c r="F62" s="8" t="inlineStr"/>
      <c r="G62" s="8" t="inlineStr"/>
      <c r="H62" s="9" t="inlineStr">
        <is>
          <t>Submitted / In review</t>
        </is>
      </c>
      <c r="I62" s="11" t="inlineStr">
        <is>
          <t>Published / Indexed</t>
        </is>
      </c>
      <c r="J62" s="8" t="inlineStr">
        <is>
          <t>FY23: Submitted / In review; FY24: Published / Indexed</t>
        </is>
      </c>
      <c r="K62" s="8">
        <f>COUNTIF(E62:I62,"&lt;&gt;")</f>
        <v/>
      </c>
      <c r="L62" s="8">
        <f>IF(K62&gt;1,"Yes","No")</f>
        <v/>
      </c>
      <c r="M62" s="8" t="inlineStr"/>
    </row>
    <row r="63">
      <c r="A63" s="8" t="n">
        <v>62</v>
      </c>
      <c r="B63" s="8" t="n">
        <v>2024</v>
      </c>
      <c r="C63" s="8" t="inlineStr">
        <is>
          <t>Sensitivity and vulnerability to summer heat extremes in major cities of the United States</t>
        </is>
      </c>
      <c r="D63" s="8" t="inlineStr">
        <is>
          <t>10.1088/1748-9326/ad6c64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>
        <f>COUNTIF(E63:I63,"&lt;&gt;")</f>
        <v/>
      </c>
      <c r="L63" s="8">
        <f>IF(K63&gt;1,"Yes","No")</f>
        <v/>
      </c>
      <c r="M63" s="8" t="inlineStr"/>
    </row>
    <row r="64">
      <c r="A64" s="8" t="n">
        <v>63</v>
      </c>
      <c r="B64" s="8" t="n">
        <v>2024</v>
      </c>
      <c r="C64" s="8" t="inlineStr">
        <is>
          <t>Simulation of compound flooding using river-ocean two-way coupled E3SM ensemble on variable-resolution meshes</t>
        </is>
      </c>
      <c r="D64" s="8" t="inlineStr">
        <is>
          <t>10.1029/2023ms004054</t>
        </is>
      </c>
      <c r="E64" s="8" t="inlineStr"/>
      <c r="F64" s="8" t="inlineStr"/>
      <c r="G64" s="8" t="inlineStr"/>
      <c r="H64" s="8" t="inlineStr"/>
      <c r="I64" s="11" t="inlineStr">
        <is>
          <t>Published / Indexed</t>
        </is>
      </c>
      <c r="J64" s="8" t="inlineStr">
        <is>
          <t>FY24: Published / Indexed</t>
        </is>
      </c>
      <c r="K64" s="8">
        <f>COUNTIF(E64:I64,"&lt;&gt;")</f>
        <v/>
      </c>
      <c r="L64" s="8">
        <f>IF(K64&gt;1,"Yes","No")</f>
        <v/>
      </c>
      <c r="M64" s="8" t="inlineStr"/>
    </row>
    <row r="65">
      <c r="A65" s="8" t="n">
        <v>64</v>
      </c>
      <c r="B65" s="8" t="n">
        <v>2024</v>
      </c>
      <c r="C65" s="8" t="inlineStr">
        <is>
          <t>The High-resolution Urban Meteorology for Impacts Dataset (HUMID) daily for the Conterminous United States</t>
        </is>
      </c>
      <c r="D65" s="8" t="inlineStr">
        <is>
          <t>10.1038/s41597-024-04086-2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>
        <f>COUNTIF(E65:I65,"&lt;&gt;")</f>
        <v/>
      </c>
      <c r="L65" s="8">
        <f>IF(K65&gt;1,"Yes","No")</f>
        <v/>
      </c>
      <c r="M65" s="8" t="inlineStr"/>
    </row>
    <row r="66">
      <c r="A66" s="8" t="n">
        <v>65</v>
      </c>
      <c r="B66" s="8" t="n">
        <v>2023</v>
      </c>
      <c r="C66" s="8" t="inlineStr">
        <is>
          <t>A cleaner snow future mitigates Northern Hemisphere snowpack loss from warming</t>
        </is>
      </c>
      <c r="D66" s="8" t="inlineStr">
        <is>
          <t>10.1038/s41467-023-41732-6</t>
        </is>
      </c>
      <c r="E66" s="8" t="inlineStr"/>
      <c r="F66" s="8" t="inlineStr"/>
      <c r="G66" s="8" t="inlineStr"/>
      <c r="H66" s="8" t="inlineStr"/>
      <c r="I66" s="11" t="inlineStr">
        <is>
          <t>Published / Indexed</t>
        </is>
      </c>
      <c r="J66" s="8" t="inlineStr">
        <is>
          <t>FY24: Published / Indexed</t>
        </is>
      </c>
      <c r="K66" s="8">
        <f>COUNTIF(E66:I66,"&lt;&gt;")</f>
        <v/>
      </c>
      <c r="L66" s="8">
        <f>IF(K66&gt;1,"Yes","No")</f>
        <v/>
      </c>
      <c r="M66" s="8" t="inlineStr"/>
    </row>
    <row r="67">
      <c r="A67" s="8" t="n">
        <v>66</v>
      </c>
      <c r="B67" s="8" t="n">
        <v>2023</v>
      </c>
      <c r="C67" s="8" t="inlineStr">
        <is>
          <t>A new method for predicting hurricane rapid intensification based on co-occurring environmental parameters</t>
        </is>
      </c>
      <c r="D67" s="8" t="inlineStr">
        <is>
          <t>10.1007/s11069-023-06100-z</t>
        </is>
      </c>
      <c r="E67" s="8" t="inlineStr"/>
      <c r="F67" s="8" t="inlineStr"/>
      <c r="G67" s="8" t="inlineStr"/>
      <c r="H67" s="8" t="inlineStr"/>
      <c r="I67" s="11" t="inlineStr">
        <is>
          <t>Published / Indexed</t>
        </is>
      </c>
      <c r="J67" s="8" t="inlineStr">
        <is>
          <t>FY24: Published / Indexed</t>
        </is>
      </c>
      <c r="K67" s="8">
        <f>COUNTIF(E67:I67,"&lt;&gt;")</f>
        <v/>
      </c>
      <c r="L67" s="8">
        <f>IF(K67&gt;1,"Yes","No")</f>
        <v/>
      </c>
      <c r="M67" s="8" t="inlineStr"/>
    </row>
    <row r="68">
      <c r="A68" s="8" t="n">
        <v>67</v>
      </c>
      <c r="B68" s="8" t="n">
        <v>2023</v>
      </c>
      <c r="C68" s="8" t="inlineStr">
        <is>
          <t>Amplified drought trends in Nepal increase the potential for Himalayan wildfires</t>
        </is>
      </c>
      <c r="D68" s="8" t="inlineStr">
        <is>
          <t>10.1007/s10584-023-03495-3</t>
        </is>
      </c>
      <c r="E68" s="8" t="inlineStr"/>
      <c r="F68" s="8" t="inlineStr"/>
      <c r="G68" s="8" t="inlineStr"/>
      <c r="H68" s="11" t="inlineStr">
        <is>
          <t>Published / Indexed</t>
        </is>
      </c>
      <c r="I68" s="8" t="inlineStr"/>
      <c r="J68" s="8" t="inlineStr">
        <is>
          <t>FY23: Published / Indexed</t>
        </is>
      </c>
      <c r="K68" s="8">
        <f>COUNTIF(E68:I68,"&lt;&gt;")</f>
        <v/>
      </c>
      <c r="L68" s="8">
        <f>IF(K68&gt;1,"Yes","No")</f>
        <v/>
      </c>
      <c r="M68" s="8" t="inlineStr"/>
    </row>
    <row r="69">
      <c r="A69" s="8" t="n">
        <v>68</v>
      </c>
      <c r="B69" s="8" t="n">
        <v>2023</v>
      </c>
      <c r="C69" s="8" t="inlineStr">
        <is>
          <t>Barotropic tides in MPAS-Ocean (E3SM V2): impact of ice shelf cavities, Geoscientific Model Development, 16, 1297-1314. https://doi.org/10.5194/gmd-16-1297-2023</t>
        </is>
      </c>
      <c r="D69" s="8" t="inlineStr">
        <is>
          <t>10.5194/gmd-16-1297-2023</t>
        </is>
      </c>
      <c r="E69" s="8" t="inlineStr"/>
      <c r="F69" s="8" t="inlineStr"/>
      <c r="G69" s="8" t="inlineStr"/>
      <c r="H69" s="11" t="inlineStr">
        <is>
          <t>Published / Indexed</t>
        </is>
      </c>
      <c r="I69" s="8" t="inlineStr"/>
      <c r="J69" s="8" t="inlineStr">
        <is>
          <t>FY23: Published / Indexed</t>
        </is>
      </c>
      <c r="K69" s="8">
        <f>COUNTIF(E69:I69,"&lt;&gt;")</f>
        <v/>
      </c>
      <c r="L69" s="8">
        <f>IF(K69&gt;1,"Yes","No")</f>
        <v/>
      </c>
      <c r="M69" s="8" t="inlineStr"/>
    </row>
    <row r="70">
      <c r="A70" s="8" t="n">
        <v>69</v>
      </c>
      <c r="B70" s="8" t="n">
        <v>2023</v>
      </c>
      <c r="C70" s="8" t="inlineStr">
        <is>
          <t>CFL optimized forward-backward Runge-Kutta schemes for the shallow-water equations</t>
        </is>
      </c>
      <c r="D70" s="8" t="inlineStr">
        <is>
          <t>10.1175/mwr-d-23-0113.1</t>
        </is>
      </c>
      <c r="E70" s="8" t="inlineStr"/>
      <c r="F70" s="8" t="inlineStr"/>
      <c r="G70" s="8" t="inlineStr"/>
      <c r="H70" s="8" t="inlineStr"/>
      <c r="I70" s="11" t="inlineStr">
        <is>
          <t>Published / Indexed</t>
        </is>
      </c>
      <c r="J70" s="8" t="inlineStr">
        <is>
          <t>FY24: Published / Indexed</t>
        </is>
      </c>
      <c r="K70" s="8">
        <f>COUNTIF(E70:I70,"&lt;&gt;")</f>
        <v/>
      </c>
      <c r="L70" s="8">
        <f>IF(K70&gt;1,"Yes","No")</f>
        <v/>
      </c>
      <c r="M70" s="8" t="inlineStr"/>
    </row>
    <row r="71">
      <c r="A71" s="8" t="n">
        <v>70</v>
      </c>
      <c r="B71" s="8" t="n">
        <v>2023</v>
      </c>
      <c r="C71" s="8" t="inlineStr">
        <is>
          <t>Climate change signal in Atlantic tropical cyclones today and near future</t>
        </is>
      </c>
      <c r="D71" s="8" t="inlineStr">
        <is>
          <t>10.1029/2023ef003539</t>
        </is>
      </c>
      <c r="E71" s="8" t="inlineStr"/>
      <c r="F71" s="8" t="inlineStr"/>
      <c r="G71" s="8" t="inlineStr"/>
      <c r="H71" s="9" t="inlineStr">
        <is>
          <t>Submitted / In review</t>
        </is>
      </c>
      <c r="I71" s="11" t="inlineStr">
        <is>
          <t>Published / Indexed</t>
        </is>
      </c>
      <c r="J71" s="8" t="inlineStr">
        <is>
          <t>FY23: Submitted / In review; FY24: Published / Indexed</t>
        </is>
      </c>
      <c r="K71" s="8">
        <f>COUNTIF(E71:I71,"&lt;&gt;")</f>
        <v/>
      </c>
      <c r="L71" s="8">
        <f>IF(K71&gt;1,"Yes","No")</f>
        <v/>
      </c>
      <c r="M71" s="8" t="inlineStr"/>
    </row>
    <row r="72">
      <c r="A72" s="8" t="n">
        <v>71</v>
      </c>
      <c r="B72" s="8" t="n">
        <v>2023</v>
      </c>
      <c r="C72" s="8" t="inlineStr">
        <is>
          <t>Comparing land surface temperature and mean radiant temperature for urban heat mapping in Philadelphia</t>
        </is>
      </c>
      <c r="D72" s="8" t="inlineStr">
        <is>
          <t>10.1016/j.uclim.2023.101615</t>
        </is>
      </c>
      <c r="E72" s="8" t="inlineStr"/>
      <c r="F72" s="8" t="inlineStr"/>
      <c r="G72" s="8" t="inlineStr"/>
      <c r="H72" s="8" t="inlineStr"/>
      <c r="I72" s="11" t="inlineStr">
        <is>
          <t>Published / Indexed</t>
        </is>
      </c>
      <c r="J72" s="8" t="inlineStr">
        <is>
          <t>FY24: Published / Indexed</t>
        </is>
      </c>
      <c r="K72" s="8">
        <f>COUNTIF(E72:I72,"&lt;&gt;")</f>
        <v/>
      </c>
      <c r="L72" s="8">
        <f>IF(K72&gt;1,"Yes","No")</f>
        <v/>
      </c>
      <c r="M72" s="8" t="inlineStr"/>
    </row>
    <row r="73">
      <c r="A73" s="8" t="n">
        <v>72</v>
      </c>
      <c r="B73" s="8" t="n">
        <v>2023</v>
      </c>
      <c r="C73" s="8" t="inlineStr">
        <is>
          <t>Connecting large-scale meteorological patterns to extratropical cyclones in CMIP6 climate models using self-organizing maps</t>
        </is>
      </c>
      <c r="D73" s="8" t="inlineStr">
        <is>
          <t>10.1029/2022ef003211</t>
        </is>
      </c>
      <c r="E73" s="8" t="inlineStr"/>
      <c r="F73" s="8" t="inlineStr"/>
      <c r="G73" s="8" t="inlineStr"/>
      <c r="H73" s="9" t="inlineStr">
        <is>
          <t>Submitted / In review</t>
        </is>
      </c>
      <c r="I73" s="11" t="inlineStr">
        <is>
          <t>Published / Indexed</t>
        </is>
      </c>
      <c r="J73" s="8" t="inlineStr">
        <is>
          <t>FY23: Submitted / In review; FY24: Published / Indexed</t>
        </is>
      </c>
      <c r="K73" s="8">
        <f>COUNTIF(E73:I73,"&lt;&gt;")</f>
        <v/>
      </c>
      <c r="L73" s="8">
        <f>IF(K73&gt;1,"Yes","No")</f>
        <v/>
      </c>
      <c r="M73" s="8" t="inlineStr"/>
    </row>
    <row r="74">
      <c r="A74" s="8" t="n">
        <v>73</v>
      </c>
      <c r="B74" s="8" t="n">
        <v>2023</v>
      </c>
      <c r="C74" s="8" t="inlineStr">
        <is>
          <t>Extremely rapid, Lagrangian modeling of 2D flooding: a rivulet-based approach</t>
        </is>
      </c>
      <c r="D74" s="8" t="inlineStr">
        <is>
          <t>10.1016/j.envsoft.2023.105630</t>
        </is>
      </c>
      <c r="E74" s="8" t="inlineStr"/>
      <c r="F74" s="8" t="inlineStr"/>
      <c r="G74" s="9" t="inlineStr">
        <is>
          <t>Submitted / In review</t>
        </is>
      </c>
      <c r="H74" s="11" t="inlineStr">
        <is>
          <t>Published / Indexed</t>
        </is>
      </c>
      <c r="I74" s="8" t="inlineStr"/>
      <c r="J74" s="8" t="inlineStr">
        <is>
          <t>FY22: Submitted / In review; FY23: Published / Indexed</t>
        </is>
      </c>
      <c r="K74" s="8">
        <f>COUNTIF(E74:I74,"&lt;&gt;")</f>
        <v/>
      </c>
      <c r="L74" s="8">
        <f>IF(K74&gt;1,"Yes","No")</f>
        <v/>
      </c>
      <c r="M74" s="8" t="inlineStr"/>
    </row>
    <row r="75">
      <c r="A75" s="8" t="n">
        <v>74</v>
      </c>
      <c r="B75" s="8" t="n">
        <v>2023</v>
      </c>
      <c r="C75" s="8" t="inlineStr">
        <is>
          <t>Increased U.S. coastal hurricane risk under climate change</t>
        </is>
      </c>
      <c r="D75" s="8" t="inlineStr">
        <is>
          <t>10.1126/sciadv.adf0259</t>
        </is>
      </c>
      <c r="E75" s="8" t="inlineStr"/>
      <c r="F75" s="8" t="inlineStr"/>
      <c r="G75" s="8" t="inlineStr"/>
      <c r="H75" s="11" t="inlineStr">
        <is>
          <t>Published / Indexed</t>
        </is>
      </c>
      <c r="I75" s="8" t="inlineStr"/>
      <c r="J75" s="8" t="inlineStr">
        <is>
          <t>FY23: Published / Indexed</t>
        </is>
      </c>
      <c r="K75" s="8">
        <f>COUNTIF(E75:I75,"&lt;&gt;")</f>
        <v/>
      </c>
      <c r="L75" s="8">
        <f>IF(K75&gt;1,"Yes","No")</f>
        <v/>
      </c>
      <c r="M75" s="8" t="inlineStr"/>
    </row>
    <row r="76">
      <c r="A76" s="8" t="n">
        <v>75</v>
      </c>
      <c r="B76" s="8" t="n">
        <v>2023</v>
      </c>
      <c r="C76" s="8" t="inlineStr">
        <is>
          <t>Inland flooding and rainfall from Hurricane Irene and Tropical Storm Lee (2011): coupled atmosphere-wave-ocean model simulations and remote sensing and in-situ observations with a machine learning tool</t>
        </is>
      </c>
      <c r="D76" s="8" t="inlineStr">
        <is>
          <t>10.1175/waf-d-22-0100.1</t>
        </is>
      </c>
      <c r="E76" s="8" t="inlineStr"/>
      <c r="F76" s="8" t="inlineStr"/>
      <c r="G76" s="9" t="inlineStr">
        <is>
          <t>Submitted / In review</t>
        </is>
      </c>
      <c r="H76" s="11" t="inlineStr">
        <is>
          <t>Published / Indexed</t>
        </is>
      </c>
      <c r="I76" s="8" t="inlineStr"/>
      <c r="J76" s="8" t="inlineStr">
        <is>
          <t>FY22: Submitted / In review; FY23: Published / Indexed</t>
        </is>
      </c>
      <c r="K76" s="8">
        <f>COUNTIF(E76:I76,"&lt;&gt;")</f>
        <v/>
      </c>
      <c r="L76" s="8">
        <f>IF(K76&gt;1,"Yes","No")</f>
        <v/>
      </c>
      <c r="M76" s="8" t="inlineStr"/>
    </row>
    <row r="77">
      <c r="A77" s="8" t="n">
        <v>76</v>
      </c>
      <c r="B77" s="8" t="n">
        <v>2023</v>
      </c>
      <c r="C77" s="8" t="inlineStr">
        <is>
          <t>Intensification of Hurricane Sally (2020) over the Mississippi River Plume</t>
        </is>
      </c>
      <c r="D77" s="8" t="inlineStr">
        <is>
          <t>10.1175/waf-d-22-0191.1</t>
        </is>
      </c>
      <c r="E77" s="8" t="inlineStr"/>
      <c r="F77" s="8" t="inlineStr"/>
      <c r="G77" s="8" t="inlineStr"/>
      <c r="H77" s="10" t="inlineStr">
        <is>
          <t>Accepted / In press</t>
        </is>
      </c>
      <c r="I77" s="11" t="inlineStr">
        <is>
          <t>Published / Indexed</t>
        </is>
      </c>
      <c r="J77" s="8" t="inlineStr">
        <is>
          <t>FY23: Accepted / In press; FY24: Published / Indexed</t>
        </is>
      </c>
      <c r="K77" s="8">
        <f>COUNTIF(E77:I77,"&lt;&gt;")</f>
        <v/>
      </c>
      <c r="L77" s="8">
        <f>IF(K77&gt;1,"Yes","No")</f>
        <v/>
      </c>
      <c r="M77" s="8" t="inlineStr"/>
    </row>
    <row r="78">
      <c r="A78" s="8" t="n">
        <v>77</v>
      </c>
      <c r="B78" s="8" t="n">
        <v>2023</v>
      </c>
      <c r="C78" s="8" t="inlineStr">
        <is>
          <t>Interacting effects of watershed and coastal processes on the evolution of compound flooding during Hurricane Irene</t>
        </is>
      </c>
      <c r="D78" s="8" t="inlineStr">
        <is>
          <t>10.1029/2022ef002947</t>
        </is>
      </c>
      <c r="E78" s="8" t="inlineStr"/>
      <c r="F78" s="8" t="inlineStr"/>
      <c r="G78" s="9" t="inlineStr">
        <is>
          <t>Submitted / In review</t>
        </is>
      </c>
      <c r="H78" s="11" t="inlineStr">
        <is>
          <t>Published / Indexed</t>
        </is>
      </c>
      <c r="I78" s="8" t="inlineStr"/>
      <c r="J78" s="8" t="inlineStr">
        <is>
          <t>FY22: Submitted / In review; FY23: Published / Indexed</t>
        </is>
      </c>
      <c r="K78" s="8">
        <f>COUNTIF(E78:I78,"&lt;&gt;")</f>
        <v/>
      </c>
      <c r="L78" s="8">
        <f>IF(K78&gt;1,"Yes","No")</f>
        <v/>
      </c>
      <c r="M78" s="8" t="inlineStr"/>
    </row>
    <row r="79">
      <c r="A79" s="8" t="n">
        <v>78</v>
      </c>
      <c r="B79" s="8" t="n">
        <v>2023</v>
      </c>
      <c r="C79" s="8" t="inlineStr">
        <is>
          <t>Modulation of tropical cyclone tracks and rainfall by the North Atlantic Oscillation</t>
        </is>
      </c>
      <c r="D79" s="8" t="inlineStr">
        <is>
          <t>10.1029/2022jd038107</t>
        </is>
      </c>
      <c r="E79" s="8" t="inlineStr"/>
      <c r="F79" s="8" t="inlineStr"/>
      <c r="G79" s="8" t="inlineStr"/>
      <c r="H79" s="10" t="inlineStr">
        <is>
          <t>Accepted / In press</t>
        </is>
      </c>
      <c r="I79" s="11" t="inlineStr">
        <is>
          <t>Published / Indexed</t>
        </is>
      </c>
      <c r="J79" s="8" t="inlineStr">
        <is>
          <t>FY23: Accepted / In press; FY24: Published / Indexed</t>
        </is>
      </c>
      <c r="K79" s="8">
        <f>COUNTIF(E79:I79,"&lt;&gt;")</f>
        <v/>
      </c>
      <c r="L79" s="8">
        <f>IF(K79&gt;1,"Yes","No")</f>
        <v/>
      </c>
      <c r="M79" s="8" t="inlineStr"/>
    </row>
    <row r="80">
      <c r="A80" s="8" t="n">
        <v>79</v>
      </c>
      <c r="B80" s="8" t="n">
        <v>2023</v>
      </c>
      <c r="C80" s="8" t="inlineStr">
        <is>
          <t>Physics-informed neural networks of the Saint-Venant equations for downscaling a large-scale river model</t>
        </is>
      </c>
      <c r="D80" s="8" t="inlineStr">
        <is>
          <t>10.1029/2022wr033168</t>
        </is>
      </c>
      <c r="E80" s="8" t="inlineStr"/>
      <c r="F80" s="8" t="inlineStr"/>
      <c r="G80" s="9" t="inlineStr">
        <is>
          <t>Submitted / In review</t>
        </is>
      </c>
      <c r="H80" s="11" t="inlineStr">
        <is>
          <t>Published / Indexed</t>
        </is>
      </c>
      <c r="I80" s="8" t="inlineStr"/>
      <c r="J80" s="8" t="inlineStr">
        <is>
          <t>FY22: Submitted / In review; FY23: Published / Indexed</t>
        </is>
      </c>
      <c r="K80" s="8">
        <f>COUNTIF(E80:I80,"&lt;&gt;")</f>
        <v/>
      </c>
      <c r="L80" s="8">
        <f>IF(K80&gt;1,"Yes","No")</f>
        <v/>
      </c>
      <c r="M80" s="8" t="inlineStr"/>
    </row>
    <row r="81">
      <c r="A81" s="8" t="n">
        <v>80</v>
      </c>
      <c r="B81" s="8" t="n">
        <v>2023</v>
      </c>
      <c r="C81" s="8" t="inlineStr">
        <is>
          <t>Potential weakening of the June 2012 North American derecho under future warming conditions</t>
        </is>
      </c>
      <c r="D81" s="8" t="inlineStr">
        <is>
          <t>10.1029/2022jd037494</t>
        </is>
      </c>
      <c r="E81" s="8" t="inlineStr"/>
      <c r="F81" s="8" t="inlineStr"/>
      <c r="G81" s="8" t="inlineStr"/>
      <c r="H81" s="11" t="inlineStr">
        <is>
          <t>Published / Indexed</t>
        </is>
      </c>
      <c r="I81" s="8" t="inlineStr"/>
      <c r="J81" s="8" t="inlineStr">
        <is>
          <t>FY23: Published / Indexed</t>
        </is>
      </c>
      <c r="K81" s="8">
        <f>COUNTIF(E81:I81,"&lt;&gt;")</f>
        <v/>
      </c>
      <c r="L81" s="8">
        <f>IF(K81&gt;1,"Yes","No")</f>
        <v/>
      </c>
      <c r="M81" s="8" t="inlineStr"/>
    </row>
    <row r="82">
      <c r="A82" s="8" t="n">
        <v>81</v>
      </c>
      <c r="B82" s="8" t="n">
        <v>2023</v>
      </c>
      <c r="C82" s="8" t="inlineStr">
        <is>
          <t>Pyflowline: A mesh-independent river network generator for hydrologic models</t>
        </is>
      </c>
      <c r="D82" s="8" t="inlineStr">
        <is>
          <t>10.21105/joss.05446</t>
        </is>
      </c>
      <c r="E82" s="8" t="inlineStr"/>
      <c r="F82" s="8" t="inlineStr"/>
      <c r="G82" s="8" t="inlineStr"/>
      <c r="H82" s="9" t="inlineStr">
        <is>
          <t>Submitted / In review</t>
        </is>
      </c>
      <c r="I82" s="11" t="inlineStr">
        <is>
          <t>Published / Indexed</t>
        </is>
      </c>
      <c r="J82" s="8" t="inlineStr">
        <is>
          <t>FY23: Submitted / In review; FY24: Published / Indexed</t>
        </is>
      </c>
      <c r="K82" s="8">
        <f>COUNTIF(E82:I82,"&lt;&gt;")</f>
        <v/>
      </c>
      <c r="L82" s="8">
        <f>IF(K82&gt;1,"Yes","No")</f>
        <v/>
      </c>
      <c r="M82" s="8" t="inlineStr"/>
    </row>
    <row r="83">
      <c r="A83" s="8" t="n">
        <v>82</v>
      </c>
      <c r="B83" s="8" t="n">
        <v>2023</v>
      </c>
      <c r="C83" s="8" t="inlineStr">
        <is>
          <t>Quantification of physical and numerical mixing in a coastal ocean model using salinity variance budgets</t>
        </is>
      </c>
      <c r="D83" s="8" t="inlineStr">
        <is>
          <t>10.1029/2022ms003380</t>
        </is>
      </c>
      <c r="E83" s="8" t="inlineStr"/>
      <c r="F83" s="8" t="inlineStr"/>
      <c r="G83" s="8" t="inlineStr"/>
      <c r="H83" s="8" t="inlineStr"/>
      <c r="I83" s="8" t="inlineStr"/>
      <c r="J83" s="8" t="inlineStr"/>
      <c r="K83" s="8">
        <f>COUNTIF(E83:I83,"&lt;&gt;")</f>
        <v/>
      </c>
      <c r="L83" s="8">
        <f>IF(K83&gt;1,"Yes","No")</f>
        <v/>
      </c>
      <c r="M83" s="8" t="inlineStr"/>
    </row>
    <row r="84">
      <c r="A84" s="8" t="n">
        <v>83</v>
      </c>
      <c r="B84" s="8" t="n">
        <v>2023</v>
      </c>
      <c r="C84" s="8" t="inlineStr">
        <is>
          <t>Reply to: Limitations of reanalyses for detecting tropical cyclone trends</t>
        </is>
      </c>
      <c r="D84" s="8" t="inlineStr">
        <is>
          <t>10.1038/s41558-023-01880-5</t>
        </is>
      </c>
      <c r="E84" s="8" t="inlineStr"/>
      <c r="F84" s="8" t="inlineStr"/>
      <c r="G84" s="8" t="inlineStr"/>
      <c r="H84" s="8" t="inlineStr"/>
      <c r="I84" s="11" t="inlineStr">
        <is>
          <t>Published / Indexed</t>
        </is>
      </c>
      <c r="J84" s="8" t="inlineStr">
        <is>
          <t>FY24: Published / Indexed</t>
        </is>
      </c>
      <c r="K84" s="8">
        <f>COUNTIF(E84:I84,"&lt;&gt;")</f>
        <v/>
      </c>
      <c r="L84" s="8">
        <f>IF(K84&gt;1,"Yes","No")</f>
        <v/>
      </c>
      <c r="M84" s="8" t="inlineStr"/>
    </row>
    <row r="85">
      <c r="A85" s="8" t="n">
        <v>84</v>
      </c>
      <c r="B85" s="8" t="n">
        <v>2023</v>
      </c>
      <c r="C85" s="8" t="inlineStr">
        <is>
          <t>Residential segregation and outdoor urban moist heat stress disparities in the United States</t>
        </is>
      </c>
      <c r="D85" s="8" t="inlineStr">
        <is>
          <t>10.1016/j.oneear.2023.05.016</t>
        </is>
      </c>
      <c r="E85" s="8" t="inlineStr"/>
      <c r="F85" s="8" t="inlineStr"/>
      <c r="G85" s="8" t="inlineStr"/>
      <c r="H85" s="10" t="inlineStr">
        <is>
          <t>Accepted / In press</t>
        </is>
      </c>
      <c r="I85" s="11" t="inlineStr">
        <is>
          <t>Published / Indexed</t>
        </is>
      </c>
      <c r="J85" s="8" t="inlineStr">
        <is>
          <t>FY23: Accepted / In press; FY24: Published / Indexed</t>
        </is>
      </c>
      <c r="K85" s="8">
        <f>COUNTIF(E85:I85,"&lt;&gt;")</f>
        <v/>
      </c>
      <c r="L85" s="8">
        <f>IF(K85&gt;1,"Yes","No")</f>
        <v/>
      </c>
      <c r="M85" s="8" t="inlineStr"/>
    </row>
    <row r="86">
      <c r="A86" s="8" t="n">
        <v>85</v>
      </c>
      <c r="B86" s="8" t="n">
        <v>2023</v>
      </c>
      <c r="C86" s="8" t="inlineStr">
        <is>
          <t>Scalable self-attraction and loading calculations for unstructured ocean models</t>
        </is>
      </c>
      <c r="D86" s="8" t="inlineStr">
        <is>
          <t>10.1016/j.ocemod.2023.102160</t>
        </is>
      </c>
      <c r="E86" s="8" t="inlineStr"/>
      <c r="F86" s="8" t="inlineStr"/>
      <c r="G86" s="9" t="inlineStr">
        <is>
          <t>Submitted / In review</t>
        </is>
      </c>
      <c r="H86" s="11" t="inlineStr">
        <is>
          <t>Published / Indexed</t>
        </is>
      </c>
      <c r="I86" s="8" t="inlineStr"/>
      <c r="J86" s="8" t="inlineStr">
        <is>
          <t>FY22: Submitted / In review; FY23: Published / Indexed</t>
        </is>
      </c>
      <c r="K86" s="8">
        <f>COUNTIF(E86:I86,"&lt;&gt;")</f>
        <v/>
      </c>
      <c r="L86" s="8">
        <f>IF(K86&gt;1,"Yes","No")</f>
        <v/>
      </c>
      <c r="M86" s="8" t="inlineStr"/>
    </row>
    <row r="87">
      <c r="A87" s="8" t="n">
        <v>86</v>
      </c>
      <c r="B87" s="8" t="n">
        <v>2023</v>
      </c>
      <c r="C87" s="8" t="inlineStr">
        <is>
          <t>Sensitivity of the pseudo-global warming method under flood conditions: A case study from the Northeastern United States</t>
        </is>
      </c>
      <c r="D87" s="8" t="inlineStr">
        <is>
          <t>10.5194/hess-27-1909-2023</t>
        </is>
      </c>
      <c r="E87" s="8" t="inlineStr"/>
      <c r="F87" s="8" t="inlineStr"/>
      <c r="G87" s="8" t="inlineStr"/>
      <c r="H87" s="11" t="inlineStr">
        <is>
          <t>Published / Indexed</t>
        </is>
      </c>
      <c r="I87" s="8" t="inlineStr"/>
      <c r="J87" s="8" t="inlineStr">
        <is>
          <t>FY23: Published / Indexed</t>
        </is>
      </c>
      <c r="K87" s="8">
        <f>COUNTIF(E87:I87,"&lt;&gt;")</f>
        <v/>
      </c>
      <c r="L87" s="8">
        <f>IF(K87&gt;1,"Yes","No")</f>
        <v/>
      </c>
      <c r="M87" s="8" t="inlineStr"/>
    </row>
    <row r="88">
      <c r="A88" s="8" t="n">
        <v>87</v>
      </c>
      <c r="B88" s="8" t="n">
        <v>2023</v>
      </c>
      <c r="C88" s="8" t="inlineStr">
        <is>
          <t>Storm surge modeling as an application of local time-stepping in MPAS-Ocean</t>
        </is>
      </c>
      <c r="D88" s="8" t="inlineStr">
        <is>
          <t>10.1029/2022ms003327</t>
        </is>
      </c>
      <c r="E88" s="8" t="inlineStr"/>
      <c r="F88" s="8" t="inlineStr"/>
      <c r="G88" s="8" t="inlineStr"/>
      <c r="H88" s="11" t="inlineStr">
        <is>
          <t>Published / Indexed</t>
        </is>
      </c>
      <c r="I88" s="8" t="inlineStr"/>
      <c r="J88" s="8" t="inlineStr">
        <is>
          <t>FY23: Published / Indexed</t>
        </is>
      </c>
      <c r="K88" s="8">
        <f>COUNTIF(E88:I88,"&lt;&gt;")</f>
        <v/>
      </c>
      <c r="L88" s="8">
        <f>IF(K88&gt;1,"Yes","No")</f>
        <v/>
      </c>
      <c r="M88" s="8" t="inlineStr"/>
    </row>
    <row r="89">
      <c r="A89" s="8" t="n">
        <v>88</v>
      </c>
      <c r="B89" s="8" t="n">
        <v>2023</v>
      </c>
      <c r="C89" s="8" t="inlineStr">
        <is>
          <t>Stronger tropical cyclone-induced ocean cooling in near-coastal regions compared to the open ocean</t>
        </is>
      </c>
      <c r="D89" s="8" t="inlineStr">
        <is>
          <t>10.1175/jcli-d-22-0842.1</t>
        </is>
      </c>
      <c r="E89" s="8" t="inlineStr"/>
      <c r="F89" s="8" t="inlineStr"/>
      <c r="G89" s="8" t="inlineStr"/>
      <c r="H89" s="10" t="inlineStr">
        <is>
          <t>Accepted / In press</t>
        </is>
      </c>
      <c r="I89" s="11" t="inlineStr">
        <is>
          <t>Published / Indexed</t>
        </is>
      </c>
      <c r="J89" s="8" t="inlineStr">
        <is>
          <t>FY23: Accepted / In press; FY24: Published / Indexed</t>
        </is>
      </c>
      <c r="K89" s="8">
        <f>COUNTIF(E89:I89,"&lt;&gt;")</f>
        <v/>
      </c>
      <c r="L89" s="8">
        <f>IF(K89&gt;1,"Yes","No")</f>
        <v/>
      </c>
      <c r="M89" s="8" t="inlineStr"/>
    </row>
    <row r="90">
      <c r="A90" s="8" t="n">
        <v>89</v>
      </c>
      <c r="B90" s="8" t="n">
        <v>2023</v>
      </c>
      <c r="C90" s="8" t="inlineStr">
        <is>
          <t>Structural model choices regularly overshadow parametric uncertainty in agent-based simulations of household flood risk outcomes</t>
        </is>
      </c>
      <c r="D90" s="8" t="inlineStr">
        <is>
          <t>10.1016/j.compenvurbsys.2023.101979</t>
        </is>
      </c>
      <c r="E90" s="8" t="inlineStr"/>
      <c r="F90" s="8" t="inlineStr"/>
      <c r="G90" s="9" t="inlineStr">
        <is>
          <t>Submitted / In review</t>
        </is>
      </c>
      <c r="H90" s="11" t="inlineStr">
        <is>
          <t>Published / Indexed</t>
        </is>
      </c>
      <c r="I90" s="8" t="inlineStr"/>
      <c r="J90" s="8" t="inlineStr">
        <is>
          <t>FY22: Submitted / In review; FY23: Published / Indexed</t>
        </is>
      </c>
      <c r="K90" s="8">
        <f>COUNTIF(E90:I90,"&lt;&gt;")</f>
        <v/>
      </c>
      <c r="L90" s="8">
        <f>IF(K90&gt;1,"Yes","No")</f>
        <v/>
      </c>
      <c r="M90" s="8" t="inlineStr">
        <is>
          <t>FY22 used the working title “Structural model choices overshadow parameter choices in agent-based simulations of coastal flood risk outcomes.”</t>
        </is>
      </c>
    </row>
    <row r="91">
      <c r="A91" s="8" t="n">
        <v>90</v>
      </c>
      <c r="B91" s="8" t="n">
        <v>2023</v>
      </c>
      <c r="C91" s="8" t="inlineStr">
        <is>
          <t>The hazard components of representative key risks: the physical climate perspective</t>
        </is>
      </c>
      <c r="D91" s="8" t="inlineStr">
        <is>
          <t>10.1016/j.crm.2023.100516</t>
        </is>
      </c>
      <c r="E91" s="8" t="inlineStr"/>
      <c r="F91" s="8" t="inlineStr"/>
      <c r="G91" s="8" t="inlineStr"/>
      <c r="H91" s="11" t="inlineStr">
        <is>
          <t>Published / Indexed</t>
        </is>
      </c>
      <c r="I91" s="8" t="inlineStr"/>
      <c r="J91" s="8" t="inlineStr">
        <is>
          <t>FY23: Published / Indexed</t>
        </is>
      </c>
      <c r="K91" s="8">
        <f>COUNTIF(E91:I91,"&lt;&gt;")</f>
        <v/>
      </c>
      <c r="L91" s="8">
        <f>IF(K91&gt;1,"Yes","No")</f>
        <v/>
      </c>
      <c r="M91" s="8" t="inlineStr"/>
    </row>
    <row r="92">
      <c r="A92" s="8" t="n">
        <v>91</v>
      </c>
      <c r="B92" s="8" t="n">
        <v>2023</v>
      </c>
      <c r="C92" s="8" t="inlineStr">
        <is>
          <t>The June 2012 North American derecho: A testbed for evaluating regional and global climate modeling systems at cloud-resolving scales</t>
        </is>
      </c>
      <c r="D92" s="8" t="inlineStr">
        <is>
          <t>10.1029/2022ms003358</t>
        </is>
      </c>
      <c r="E92" s="8" t="inlineStr"/>
      <c r="F92" s="8" t="inlineStr"/>
      <c r="G92" s="8" t="inlineStr"/>
      <c r="H92" s="11" t="inlineStr">
        <is>
          <t>Published / Indexed</t>
        </is>
      </c>
      <c r="I92" s="8" t="inlineStr"/>
      <c r="J92" s="8" t="inlineStr">
        <is>
          <t>FY23: Published / Indexed</t>
        </is>
      </c>
      <c r="K92" s="8">
        <f>COUNTIF(E92:I92,"&lt;&gt;")</f>
        <v/>
      </c>
      <c r="L92" s="8">
        <f>IF(K92&gt;1,"Yes","No")</f>
        <v/>
      </c>
      <c r="M92" s="8" t="inlineStr"/>
    </row>
    <row r="93">
      <c r="A93" s="8" t="n">
        <v>92</v>
      </c>
      <c r="B93" s="8" t="n">
        <v>2023</v>
      </c>
      <c r="C93" s="8" t="inlineStr">
        <is>
          <t>Topological relationship-based flow direction modeling: Mesh-independent river networks representation</t>
        </is>
      </c>
      <c r="D93" s="8" t="inlineStr">
        <is>
          <t>10.1029/2022ms003089</t>
        </is>
      </c>
      <c r="E93" s="8" t="inlineStr"/>
      <c r="F93" s="8" t="inlineStr"/>
      <c r="G93" s="9" t="inlineStr">
        <is>
          <t>Submitted / In review</t>
        </is>
      </c>
      <c r="H93" s="11" t="inlineStr">
        <is>
          <t>Published / Indexed</t>
        </is>
      </c>
      <c r="I93" s="8" t="inlineStr"/>
      <c r="J93" s="8" t="inlineStr">
        <is>
          <t>FY22: Submitted / In review; FY23: Published / Indexed</t>
        </is>
      </c>
      <c r="K93" s="8">
        <f>COUNTIF(E93:I93,"&lt;&gt;")</f>
        <v/>
      </c>
      <c r="L93" s="8">
        <f>IF(K93&gt;1,"Yes","No")</f>
        <v/>
      </c>
      <c r="M93" s="8" t="inlineStr"/>
    </row>
    <row r="94">
      <c r="A94" s="8" t="n">
        <v>93</v>
      </c>
      <c r="B94" s="8" t="n">
        <v>2023</v>
      </c>
      <c r="C94" s="8" t="inlineStr">
        <is>
          <t>Topological relationship-based flow direction modeling: Stream burning and depression filling</t>
        </is>
      </c>
      <c r="D94" s="8" t="inlineStr">
        <is>
          <t>10.1029/2022ms003487</t>
        </is>
      </c>
      <c r="E94" s="8" t="inlineStr"/>
      <c r="F94" s="8" t="inlineStr"/>
      <c r="G94" s="8" t="inlineStr"/>
      <c r="H94" s="8" t="inlineStr"/>
      <c r="I94" s="11" t="inlineStr">
        <is>
          <t>Published / Indexed</t>
        </is>
      </c>
      <c r="J94" s="8" t="inlineStr">
        <is>
          <t>FY24: Published / Indexed</t>
        </is>
      </c>
      <c r="K94" s="8">
        <f>COUNTIF(E94:I94,"&lt;&gt;")</f>
        <v/>
      </c>
      <c r="L94" s="8">
        <f>IF(K94&gt;1,"Yes","No")</f>
        <v/>
      </c>
      <c r="M94" s="8" t="inlineStr"/>
    </row>
    <row r="95">
      <c r="A95" s="8" t="n">
        <v>94</v>
      </c>
      <c r="B95" s="8" t="n">
        <v>2023</v>
      </c>
      <c r="C95" s="8" t="inlineStr">
        <is>
          <t>Tropical cyclone rainfall climatology, extremes, and flooding potential from remote sensing and reanalysis datasets over the continental United States</t>
        </is>
      </c>
      <c r="D95" s="8" t="inlineStr">
        <is>
          <t>10.1175/jhm-d-22-0199.1</t>
        </is>
      </c>
      <c r="E95" s="8" t="inlineStr"/>
      <c r="F95" s="8" t="inlineStr"/>
      <c r="G95" s="8" t="inlineStr"/>
      <c r="H95" s="10" t="inlineStr">
        <is>
          <t>Accepted / In press</t>
        </is>
      </c>
      <c r="I95" s="11" t="inlineStr">
        <is>
          <t>Published / Indexed</t>
        </is>
      </c>
      <c r="J95" s="8" t="inlineStr">
        <is>
          <t>FY23: Accepted / In press; FY24: Published / Indexed</t>
        </is>
      </c>
      <c r="K95" s="8">
        <f>COUNTIF(E95:I95,"&lt;&gt;")</f>
        <v/>
      </c>
      <c r="L95" s="8">
        <f>IF(K95&gt;1,"Yes","No")</f>
        <v/>
      </c>
      <c r="M95" s="8" t="inlineStr"/>
    </row>
    <row r="96">
      <c r="A96" s="8" t="n">
        <v>95</v>
      </c>
      <c r="B96" s="8" t="n">
        <v>2023</v>
      </c>
      <c r="C96" s="8" t="inlineStr">
        <is>
          <t>Two large-scale meteorological patterns are associated with short-duration dry spells in the northeastern United States</t>
        </is>
      </c>
      <c r="D96" s="8" t="inlineStr">
        <is>
          <t>10.1175/mwr-d-23-0141.1</t>
        </is>
      </c>
      <c r="E96" s="8" t="inlineStr"/>
      <c r="F96" s="8" t="inlineStr"/>
      <c r="G96" s="8" t="inlineStr"/>
      <c r="H96" s="9" t="inlineStr">
        <is>
          <t>Submitted / In review</t>
        </is>
      </c>
      <c r="I96" s="11" t="inlineStr">
        <is>
          <t>Published / Indexed</t>
        </is>
      </c>
      <c r="J96" s="8" t="inlineStr">
        <is>
          <t>FY23: Submitted / In review; FY24: Published / Indexed</t>
        </is>
      </c>
      <c r="K96" s="8">
        <f>COUNTIF(E96:I96,"&lt;&gt;")</f>
        <v/>
      </c>
      <c r="L96" s="8">
        <f>IF(K96&gt;1,"Yes","No")</f>
        <v/>
      </c>
      <c r="M96" s="8" t="inlineStr"/>
    </row>
    <row r="97">
      <c r="A97" s="8" t="n">
        <v>96</v>
      </c>
      <c r="B97" s="8" t="n">
        <v>2023</v>
      </c>
      <c r="C97" s="8" t="inlineStr">
        <is>
          <t>Understanding the compound flood risk along the coast of the contiguous United States</t>
        </is>
      </c>
      <c r="D97" s="8" t="inlineStr">
        <is>
          <t>10.5194/hess-27-3911-2023</t>
        </is>
      </c>
      <c r="E97" s="8" t="inlineStr"/>
      <c r="F97" s="8" t="inlineStr"/>
      <c r="G97" s="8" t="inlineStr"/>
      <c r="H97" s="9" t="inlineStr">
        <is>
          <t>Submitted / In review</t>
        </is>
      </c>
      <c r="I97" s="11" t="inlineStr">
        <is>
          <t>Published / Indexed</t>
        </is>
      </c>
      <c r="J97" s="8" t="inlineStr">
        <is>
          <t>FY23: Submitted / In review; FY24: Published / Indexed</t>
        </is>
      </c>
      <c r="K97" s="8">
        <f>COUNTIF(E97:I97,"&lt;&gt;")</f>
        <v/>
      </c>
      <c r="L97" s="8">
        <f>IF(K97&gt;1,"Yes","No")</f>
        <v/>
      </c>
      <c r="M97" s="8" t="inlineStr"/>
    </row>
    <row r="98">
      <c r="A98" s="8" t="n">
        <v>97</v>
      </c>
      <c r="B98" s="8" t="n">
        <v>2022</v>
      </c>
      <c r="C98" s="8" t="inlineStr">
        <is>
          <t>(2022): Geographically aware estimates of remotely sensed water properties for Chesapeake Bay</t>
        </is>
      </c>
      <c r="D98" s="8" t="inlineStr">
        <is>
          <t>10.1117/1.jrs.16.044528</t>
        </is>
      </c>
      <c r="E98" s="8" t="inlineStr"/>
      <c r="F98" s="8" t="inlineStr"/>
      <c r="G98" s="8" t="inlineStr"/>
      <c r="H98" s="11" t="inlineStr">
        <is>
          <t>Published / Indexed</t>
        </is>
      </c>
      <c r="I98" s="8" t="inlineStr"/>
      <c r="J98" s="8" t="inlineStr">
        <is>
          <t>FY23: Published / Indexed</t>
        </is>
      </c>
      <c r="K98" s="8">
        <f>COUNTIF(E98:I98,"&lt;&gt;")</f>
        <v/>
      </c>
      <c r="L98" s="8">
        <f>IF(K98&gt;1,"Yes","No")</f>
        <v/>
      </c>
      <c r="M98" s="8" t="inlineStr"/>
    </row>
    <row r="99">
      <c r="A99" s="8" t="n">
        <v>98</v>
      </c>
      <c r="B99" s="8" t="n">
        <v>2022</v>
      </c>
      <c r="C99" s="8" t="inlineStr">
        <is>
          <t>A Novel Framework for Parametric Analysis of Coastal Transition Zone Modeling</t>
        </is>
      </c>
      <c r="D99" s="8" t="inlineStr">
        <is>
          <t>10.1111/1752-1688.12983</t>
        </is>
      </c>
      <c r="E99" s="9" t="inlineStr">
        <is>
          <t>Submitted / In review</t>
        </is>
      </c>
      <c r="F99" s="9" t="inlineStr">
        <is>
          <t>Submitted / In review</t>
        </is>
      </c>
      <c r="G99" s="11" t="inlineStr">
        <is>
          <t>Published / Indexed</t>
        </is>
      </c>
      <c r="H99" s="8" t="inlineStr"/>
      <c r="I99" s="8" t="inlineStr"/>
      <c r="J99" s="8" t="inlineStr">
        <is>
          <t>FY20: Submitted / In review; FY21: Submitted / In review; FY22: Published / Indexed</t>
        </is>
      </c>
      <c r="K99" s="8">
        <f>COUNTIF(E99:I99,"&lt;&gt;")</f>
        <v/>
      </c>
      <c r="L99" s="8">
        <f>IF(K99&gt;1,"Yes","No")</f>
        <v/>
      </c>
      <c r="M99" s="8" t="inlineStr">
        <is>
          <t>FY20/FY21 used the earlier title “Model-Based Parametric Analysis of Total Water Prediction in Coastal Transition Zones of the US East and Gulf Coasts.”</t>
        </is>
      </c>
    </row>
    <row r="100">
      <c r="A100" s="8" t="n">
        <v>99</v>
      </c>
      <c r="B100" s="8" t="n">
        <v>2022</v>
      </c>
      <c r="C100" s="8" t="inlineStr">
        <is>
          <t>Advances in hexagon mesh-based flow direction modeling</t>
        </is>
      </c>
      <c r="D100" s="8" t="inlineStr">
        <is>
          <t>10.1016/j.advwatres.2021.104099</t>
        </is>
      </c>
      <c r="E100" s="8" t="inlineStr"/>
      <c r="F100" s="9" t="inlineStr">
        <is>
          <t>Submitted / In review</t>
        </is>
      </c>
      <c r="G100" s="11" t="inlineStr">
        <is>
          <t>Published / Indexed</t>
        </is>
      </c>
      <c r="H100" s="8" t="inlineStr"/>
      <c r="I100" s="8" t="inlineStr"/>
      <c r="J100" s="8" t="inlineStr">
        <is>
          <t>FY21: Submitted / In review; FY22: Published / Indexed</t>
        </is>
      </c>
      <c r="K100" s="8">
        <f>COUNTIF(E100:I100,"&lt;&gt;")</f>
        <v/>
      </c>
      <c r="L100" s="8">
        <f>IF(K100&gt;1,"Yes","No")</f>
        <v/>
      </c>
      <c r="M100" s="8" t="inlineStr"/>
    </row>
    <row r="101">
      <c r="A101" s="8" t="n">
        <v>100</v>
      </c>
      <c r="B101" s="8" t="n">
        <v>2022</v>
      </c>
      <c r="C101" s="8" t="inlineStr">
        <is>
          <t>An algorithm for deriving the topology of belowground urban stormwater networks</t>
        </is>
      </c>
      <c r="D101" s="8" t="inlineStr">
        <is>
          <t>10.5194/hess-26-4279-2022</t>
        </is>
      </c>
      <c r="E101" s="8" t="inlineStr"/>
      <c r="F101" s="8" t="inlineStr"/>
      <c r="G101" s="9" t="inlineStr">
        <is>
          <t>Submitted / In review</t>
        </is>
      </c>
      <c r="H101" s="11" t="inlineStr">
        <is>
          <t>Published / Indexed</t>
        </is>
      </c>
      <c r="I101" s="8" t="inlineStr"/>
      <c r="J101" s="8" t="inlineStr">
        <is>
          <t>FY22: Submitted / In review; FY23: Published / Indexed</t>
        </is>
      </c>
      <c r="K101" s="8">
        <f>COUNTIF(E101:I101,"&lt;&gt;")</f>
        <v/>
      </c>
      <c r="L101" s="8">
        <f>IF(K101&gt;1,"Yes","No")</f>
        <v/>
      </c>
      <c r="M101" s="8" t="inlineStr"/>
    </row>
    <row r="102">
      <c r="A102" s="8" t="n">
        <v>101</v>
      </c>
      <c r="B102" s="8" t="n">
        <v>2022</v>
      </c>
      <c r="C102" s="8" t="inlineStr">
        <is>
          <t>Assessing the large-scale drivers of precipitation in the northeastern United States via linear orthogonal decomposition</t>
        </is>
      </c>
      <c r="D102" s="8" t="inlineStr">
        <is>
          <t>10.1007/s00382-022-06289-y</t>
        </is>
      </c>
      <c r="E102" s="8" t="inlineStr"/>
      <c r="F102" s="8" t="inlineStr"/>
      <c r="G102" s="9" t="inlineStr">
        <is>
          <t>Submitted / In review</t>
        </is>
      </c>
      <c r="H102" s="8" t="inlineStr"/>
      <c r="I102" s="8" t="inlineStr"/>
      <c r="J102" s="8" t="inlineStr">
        <is>
          <t>FY22: Submitted / In review</t>
        </is>
      </c>
      <c r="K102" s="8">
        <f>COUNTIF(E102:I102,"&lt;&gt;")</f>
        <v/>
      </c>
      <c r="L102" s="8">
        <f>IF(K102&gt;1,"Yes","No")</f>
        <v/>
      </c>
      <c r="M102" s="8" t="inlineStr"/>
    </row>
    <row r="103">
      <c r="A103" s="8" t="n">
        <v>102</v>
      </c>
      <c r="B103" s="8" t="n">
        <v>2022</v>
      </c>
      <c r="C103" s="8" t="inlineStr">
        <is>
          <t>Attributing extreme weather: the new science of extreme event attribution</t>
        </is>
      </c>
      <c r="D103" s="8" t="inlineStr">
        <is>
          <t>10.1038/s41467-019-09729-2</t>
        </is>
      </c>
      <c r="E103" s="8" t="inlineStr"/>
      <c r="F103" s="8" t="inlineStr"/>
      <c r="G103" s="11" t="inlineStr">
        <is>
          <t>Published / Indexed</t>
        </is>
      </c>
      <c r="H103" s="8" t="inlineStr"/>
      <c r="I103" s="8" t="inlineStr"/>
      <c r="J103" s="8" t="inlineStr">
        <is>
          <t>FY22: Published / Indexed</t>
        </is>
      </c>
      <c r="K103" s="8">
        <f>COUNTIF(E103:I103,"&lt;&gt;")</f>
        <v/>
      </c>
      <c r="L103" s="8">
        <f>IF(K103&gt;1,"Yes","No")</f>
        <v/>
      </c>
      <c r="M103" s="8" t="inlineStr"/>
    </row>
    <row r="104">
      <c r="A104" s="8" t="n">
        <v>103</v>
      </c>
      <c r="B104" s="8" t="n">
        <v>2022</v>
      </c>
      <c r="C104" s="8" t="inlineStr">
        <is>
          <t>Attribution of 2020 hurricane season extreme rainfall to human-induced climate change</t>
        </is>
      </c>
      <c r="D104" s="8" t="inlineStr">
        <is>
          <t>10.1038/s41467-022-29379-1</t>
        </is>
      </c>
      <c r="E104" s="8" t="inlineStr"/>
      <c r="F104" s="8" t="inlineStr"/>
      <c r="G104" s="11" t="inlineStr">
        <is>
          <t>Published / Indexed</t>
        </is>
      </c>
      <c r="H104" s="8" t="inlineStr"/>
      <c r="I104" s="8" t="inlineStr"/>
      <c r="J104" s="8" t="inlineStr">
        <is>
          <t>FY22: Published / Indexed</t>
        </is>
      </c>
      <c r="K104" s="8">
        <f>COUNTIF(E104:I104,"&lt;&gt;")</f>
        <v/>
      </c>
      <c r="L104" s="8">
        <f>IF(K104&gt;1,"Yes","No")</f>
        <v/>
      </c>
      <c r="M104" s="8" t="inlineStr"/>
    </row>
    <row r="105">
      <c r="A105" s="8" t="n">
        <v>104</v>
      </c>
      <c r="B105" s="8" t="n">
        <v>2022</v>
      </c>
      <c r="C105" s="8" t="inlineStr">
        <is>
          <t>Changing trends in drought patterns over the northeastern United States using multiple large ensemble datasets</t>
        </is>
      </c>
      <c r="D105" s="8" t="inlineStr">
        <is>
          <t>10.1175/jcli-d-21-0810.1</t>
        </is>
      </c>
      <c r="E105" s="8" t="inlineStr"/>
      <c r="F105" s="8" t="inlineStr"/>
      <c r="G105" s="9" t="inlineStr">
        <is>
          <t>Submitted / In review</t>
        </is>
      </c>
      <c r="H105" s="11" t="inlineStr">
        <is>
          <t>Published / Indexed</t>
        </is>
      </c>
      <c r="I105" s="8" t="inlineStr"/>
      <c r="J105" s="8" t="inlineStr">
        <is>
          <t>FY22: Submitted / In review; FY23: Published / Indexed</t>
        </is>
      </c>
      <c r="K105" s="8">
        <f>COUNTIF(E105:I105,"&lt;&gt;")</f>
        <v/>
      </c>
      <c r="L105" s="8">
        <f>IF(K105&gt;1,"Yes","No")</f>
        <v/>
      </c>
      <c r="M105" s="8" t="inlineStr"/>
    </row>
    <row r="106">
      <c r="A106" s="8" t="n">
        <v>105</v>
      </c>
      <c r="B106" s="8" t="n">
        <v>2022</v>
      </c>
      <c r="C106" s="8" t="inlineStr">
        <is>
          <t>Compound effects of rain, storm surge, and river discharge on coastal flooding during Hurricane Irene and Tropical Storm Lee (2011) in the Mid-Atlantic region: coupled atmosphere-wave-ocean model simulation and observations</t>
        </is>
      </c>
      <c r="D106" s="8" t="inlineStr">
        <is>
          <t>10.1007/s11069-022-05694-0</t>
        </is>
      </c>
      <c r="E106" s="8" t="inlineStr"/>
      <c r="F106" s="8" t="inlineStr"/>
      <c r="G106" s="9" t="inlineStr">
        <is>
          <t>Submitted / In review</t>
        </is>
      </c>
      <c r="H106" s="11" t="inlineStr">
        <is>
          <t>Published / Indexed</t>
        </is>
      </c>
      <c r="I106" s="8" t="inlineStr"/>
      <c r="J106" s="8" t="inlineStr">
        <is>
          <t>FY22: Submitted / In review; FY23: Published / Indexed</t>
        </is>
      </c>
      <c r="K106" s="8">
        <f>COUNTIF(E106:I106,"&lt;&gt;")</f>
        <v/>
      </c>
      <c r="L106" s="8">
        <f>IF(K106&gt;1,"Yes","No")</f>
        <v/>
      </c>
      <c r="M106" s="8" t="inlineStr"/>
    </row>
    <row r="107">
      <c r="A107" s="8" t="n">
        <v>106</v>
      </c>
      <c r="B107" s="8" t="n">
        <v>2022</v>
      </c>
      <c r="C107" s="8" t="inlineStr">
        <is>
          <t>Declining tropical cyclone frequency under global warming</t>
        </is>
      </c>
      <c r="D107" s="8" t="inlineStr">
        <is>
          <t>10.1038/s41558-022-01388-4</t>
        </is>
      </c>
      <c r="E107" s="8" t="inlineStr"/>
      <c r="F107" s="8" t="inlineStr"/>
      <c r="G107" s="9" t="inlineStr">
        <is>
          <t>Submitted / In review</t>
        </is>
      </c>
      <c r="H107" s="11" t="inlineStr">
        <is>
          <t>Published / Indexed</t>
        </is>
      </c>
      <c r="I107" s="8" t="inlineStr"/>
      <c r="J107" s="8" t="inlineStr">
        <is>
          <t>FY22: Submitted / In review; FY23: Published / Indexed</t>
        </is>
      </c>
      <c r="K107" s="8">
        <f>COUNTIF(E107:I107,"&lt;&gt;")</f>
        <v/>
      </c>
      <c r="L107" s="8">
        <f>IF(K107&gt;1,"Yes","No")</f>
        <v/>
      </c>
      <c r="M107" s="8" t="inlineStr"/>
    </row>
    <row r="108">
      <c r="A108" s="8" t="n">
        <v>107</v>
      </c>
      <c r="B108" s="8" t="n">
        <v>2022</v>
      </c>
      <c r="C108" s="8" t="inlineStr">
        <is>
          <t>Development of land-river two-way hydrologic coupling for floodplain inundation in the Energy Exascale Earth System Model</t>
        </is>
      </c>
      <c r="D108" s="8" t="inlineStr">
        <is>
          <t>10.1029/2021ms002772</t>
        </is>
      </c>
      <c r="E108" s="8" t="inlineStr"/>
      <c r="F108" s="8" t="inlineStr"/>
      <c r="G108" s="10" t="inlineStr">
        <is>
          <t>Accepted / In press</t>
        </is>
      </c>
      <c r="H108" s="11" t="inlineStr">
        <is>
          <t>Published / Indexed</t>
        </is>
      </c>
      <c r="I108" s="8" t="inlineStr"/>
      <c r="J108" s="8" t="inlineStr">
        <is>
          <t>FY22: Accepted / In press; FY23: Published / Indexed</t>
        </is>
      </c>
      <c r="K108" s="8">
        <f>COUNTIF(E108:I108,"&lt;&gt;")</f>
        <v/>
      </c>
      <c r="L108" s="8">
        <f>IF(K108&gt;1,"Yes","No")</f>
        <v/>
      </c>
      <c r="M108" s="8" t="inlineStr"/>
    </row>
    <row r="109">
      <c r="A109" s="8" t="n">
        <v>108</v>
      </c>
      <c r="B109" s="8" t="n">
        <v>2022</v>
      </c>
      <c r="C109" s="8" t="inlineStr">
        <is>
          <t>Drivers of phytoplankton variability in and near the Pearl River Estuary, South China Sea during Typhoon Hato (2017): A numerical study</t>
        </is>
      </c>
      <c r="D109" s="8" t="inlineStr">
        <is>
          <t>10.1029/2022jg006924</t>
        </is>
      </c>
      <c r="E109" s="8" t="inlineStr"/>
      <c r="F109" s="8" t="inlineStr"/>
      <c r="G109" s="8" t="inlineStr"/>
      <c r="H109" s="8" t="inlineStr"/>
      <c r="I109" s="8" t="inlineStr"/>
      <c r="J109" s="8" t="inlineStr"/>
      <c r="K109" s="8">
        <f>COUNTIF(E109:I109,"&lt;&gt;")</f>
        <v/>
      </c>
      <c r="L109" s="8">
        <f>IF(K109&gt;1,"Yes","No")</f>
        <v/>
      </c>
      <c r="M109" s="8" t="inlineStr"/>
    </row>
    <row r="110">
      <c r="A110" s="8" t="n">
        <v>109</v>
      </c>
      <c r="B110" s="8" t="n">
        <v>2022</v>
      </c>
      <c r="C110" s="8" t="inlineStr">
        <is>
          <t>Evaluating the Influence of CAM5 Aerosol Configuration on Simulated Tropical Cyclones in the North Atlantic</t>
        </is>
      </c>
      <c r="D110" s="8" t="inlineStr">
        <is>
          <t>10.3390/cli10090130</t>
        </is>
      </c>
      <c r="E110" s="8" t="inlineStr"/>
      <c r="F110" s="8" t="inlineStr"/>
      <c r="G110" s="8" t="inlineStr"/>
      <c r="H110" s="11" t="inlineStr">
        <is>
          <t>Published / Indexed</t>
        </is>
      </c>
      <c r="I110" s="8" t="inlineStr"/>
      <c r="J110" s="8" t="inlineStr">
        <is>
          <t>FY23: Published / Indexed</t>
        </is>
      </c>
      <c r="K110" s="8">
        <f>COUNTIF(E110:I110,"&lt;&gt;")</f>
        <v/>
      </c>
      <c r="L110" s="8">
        <f>IF(K110&gt;1,"Yes","No")</f>
        <v/>
      </c>
      <c r="M110" s="8" t="inlineStr"/>
    </row>
    <row r="111">
      <c r="A111" s="8" t="n">
        <v>110</v>
      </c>
      <c r="B111" s="8" t="n">
        <v>2022</v>
      </c>
      <c r="C111" s="8" t="inlineStr">
        <is>
          <t>Global barotropic tide modeling using inline self-attraction and loading in MPAS-Ocean</t>
        </is>
      </c>
      <c r="D111" s="8" t="inlineStr">
        <is>
          <t>10.1029/2022ms003207</t>
        </is>
      </c>
      <c r="E111" s="8" t="inlineStr"/>
      <c r="F111" s="8" t="inlineStr"/>
      <c r="G111" s="9" t="inlineStr">
        <is>
          <t>Submitted / In review</t>
        </is>
      </c>
      <c r="H111" s="11" t="inlineStr">
        <is>
          <t>Published / Indexed</t>
        </is>
      </c>
      <c r="I111" s="8" t="inlineStr"/>
      <c r="J111" s="8" t="inlineStr">
        <is>
          <t>FY22: Submitted / In review; FY23: Published / Indexed</t>
        </is>
      </c>
      <c r="K111" s="8">
        <f>COUNTIF(E111:I111,"&lt;&gt;")</f>
        <v/>
      </c>
      <c r="L111" s="8">
        <f>IF(K111&gt;1,"Yes","No")</f>
        <v/>
      </c>
      <c r="M111" s="8" t="inlineStr"/>
    </row>
    <row r="112">
      <c r="A112" s="8" t="n">
        <v>111</v>
      </c>
      <c r="B112" s="8" t="n">
        <v>2022</v>
      </c>
      <c r="C112" s="8" t="inlineStr">
        <is>
          <t>Impact of coastal marsh eco-geomorphologic change on saltwater intrusion under future sea level rise</t>
        </is>
      </c>
      <c r="D112" s="8" t="inlineStr">
        <is>
          <t>10.1029/2021wr030333</t>
        </is>
      </c>
      <c r="E112" s="8" t="inlineStr"/>
      <c r="F112" s="8" t="inlineStr"/>
      <c r="G112" s="11" t="inlineStr">
        <is>
          <t>Published / Indexed</t>
        </is>
      </c>
      <c r="H112" s="8" t="inlineStr"/>
      <c r="I112" s="8" t="inlineStr"/>
      <c r="J112" s="8" t="inlineStr">
        <is>
          <t>FY22: Published / Indexed</t>
        </is>
      </c>
      <c r="K112" s="8">
        <f>COUNTIF(E112:I112,"&lt;&gt;")</f>
        <v/>
      </c>
      <c r="L112" s="8">
        <f>IF(K112&gt;1,"Yes","No")</f>
        <v/>
      </c>
      <c r="M112" s="8" t="inlineStr"/>
    </row>
    <row r="113">
      <c r="A113" s="8" t="n">
        <v>112</v>
      </c>
      <c r="B113" s="8" t="n">
        <v>2022</v>
      </c>
      <c r="C113" s="8" t="inlineStr">
        <is>
          <t>Impact of Rainfall on Tropical Cyclone-Induced Sea Surface Cooling</t>
        </is>
      </c>
      <c r="D113" s="8" t="inlineStr">
        <is>
          <t>10.1029/2022gl098187</t>
        </is>
      </c>
      <c r="E113" s="8" t="inlineStr"/>
      <c r="F113" s="8" t="inlineStr"/>
      <c r="G113" s="11" t="inlineStr">
        <is>
          <t>Published / Indexed</t>
        </is>
      </c>
      <c r="H113" s="8" t="inlineStr"/>
      <c r="I113" s="8" t="inlineStr"/>
      <c r="J113" s="8" t="inlineStr">
        <is>
          <t>FY22: Published / Indexed</t>
        </is>
      </c>
      <c r="K113" s="8">
        <f>COUNTIF(E113:I113,"&lt;&gt;")</f>
        <v/>
      </c>
      <c r="L113" s="8">
        <f>IF(K113&gt;1,"Yes","No")</f>
        <v/>
      </c>
      <c r="M113" s="8" t="inlineStr"/>
    </row>
    <row r="114">
      <c r="A114" s="8" t="n">
        <v>113</v>
      </c>
      <c r="B114" s="8" t="n">
        <v>2022</v>
      </c>
      <c r="C114" s="8" t="inlineStr">
        <is>
          <t>Impacts of large-scale urbanization and irrigation on summer precipitation in the Mid-Atlantic region of the United States</t>
        </is>
      </c>
      <c r="D114" s="8" t="inlineStr">
        <is>
          <t>10.1029/2022gl097845</t>
        </is>
      </c>
      <c r="E114" s="8" t="inlineStr"/>
      <c r="F114" s="8" t="inlineStr"/>
      <c r="G114" s="11" t="inlineStr">
        <is>
          <t>Published / Indexed</t>
        </is>
      </c>
      <c r="H114" s="8" t="inlineStr"/>
      <c r="I114" s="8" t="inlineStr"/>
      <c r="J114" s="8" t="inlineStr">
        <is>
          <t>FY22: Published / Indexed</t>
        </is>
      </c>
      <c r="K114" s="8">
        <f>COUNTIF(E114:I114,"&lt;&gt;")</f>
        <v/>
      </c>
      <c r="L114" s="8">
        <f>IF(K114&gt;1,"Yes","No")</f>
        <v/>
      </c>
      <c r="M114" s="8" t="inlineStr"/>
    </row>
    <row r="115">
      <c r="A115" s="8" t="n">
        <v>114</v>
      </c>
      <c r="B115" s="8" t="n">
        <v>2022</v>
      </c>
      <c r="C115" s="8" t="inlineStr">
        <is>
          <t>Increasing hurricane intensification rate near the US Atlantic coast</t>
        </is>
      </c>
      <c r="D115" s="8" t="inlineStr">
        <is>
          <t>10.1029/2022gl099793</t>
        </is>
      </c>
      <c r="E115" s="8" t="inlineStr"/>
      <c r="F115" s="8" t="inlineStr"/>
      <c r="G115" s="9" t="inlineStr">
        <is>
          <t>Submitted / In review</t>
        </is>
      </c>
      <c r="H115" s="11" t="inlineStr">
        <is>
          <t>Published / Indexed</t>
        </is>
      </c>
      <c r="I115" s="8" t="inlineStr"/>
      <c r="J115" s="8" t="inlineStr">
        <is>
          <t>FY22: Submitted / In review; FY23: Published / Indexed</t>
        </is>
      </c>
      <c r="K115" s="8">
        <f>COUNTIF(E115:I115,"&lt;&gt;")</f>
        <v/>
      </c>
      <c r="L115" s="8">
        <f>IF(K115&gt;1,"Yes","No")</f>
        <v/>
      </c>
      <c r="M115" s="8" t="inlineStr"/>
    </row>
    <row r="116">
      <c r="A116" s="8" t="n">
        <v>115</v>
      </c>
      <c r="B116" s="8" t="n">
        <v>2022</v>
      </c>
      <c r="C116" s="8" t="inlineStr">
        <is>
          <t>Investigating coastal backwater effects and flooding in the coastal zone using a global river transport model on an unstructured mesh</t>
        </is>
      </c>
      <c r="D116" s="8" t="inlineStr">
        <is>
          <t>10.5194/hess-26-5473-2022</t>
        </is>
      </c>
      <c r="E116" s="8" t="inlineStr"/>
      <c r="F116" s="8" t="inlineStr"/>
      <c r="G116" s="8" t="inlineStr"/>
      <c r="H116" s="11" t="inlineStr">
        <is>
          <t>Published / Indexed</t>
        </is>
      </c>
      <c r="I116" s="8" t="inlineStr"/>
      <c r="J116" s="8" t="inlineStr">
        <is>
          <t>FY23: Published / Indexed</t>
        </is>
      </c>
      <c r="K116" s="8">
        <f>COUNTIF(E116:I116,"&lt;&gt;")</f>
        <v/>
      </c>
      <c r="L116" s="8">
        <f>IF(K116&gt;1,"Yes","No")</f>
        <v/>
      </c>
      <c r="M116" s="8" t="inlineStr"/>
    </row>
    <row r="117">
      <c r="A117" s="8" t="n">
        <v>116</v>
      </c>
      <c r="B117" s="8" t="n">
        <v>2022</v>
      </c>
      <c r="C117" s="8" t="inlineStr">
        <is>
          <t>Landscape metrics regularly outperform other traditionally-used ancillary datasets in dasymetric mapping of population</t>
        </is>
      </c>
      <c r="D117" s="8" t="inlineStr">
        <is>
          <t>10.1016/j.compenvurbsys.2022.101899</t>
        </is>
      </c>
      <c r="E117" s="8" t="inlineStr"/>
      <c r="F117" s="8" t="inlineStr"/>
      <c r="G117" s="9" t="inlineStr">
        <is>
          <t>Submitted / In review</t>
        </is>
      </c>
      <c r="H117" s="11" t="inlineStr">
        <is>
          <t>Published / Indexed</t>
        </is>
      </c>
      <c r="I117" s="8" t="inlineStr"/>
      <c r="J117" s="8" t="inlineStr">
        <is>
          <t>FY22: Submitted / In review; FY23: Published / Indexed</t>
        </is>
      </c>
      <c r="K117" s="8">
        <f>COUNTIF(E117:I117,"&lt;&gt;")</f>
        <v/>
      </c>
      <c r="L117" s="8">
        <f>IF(K117&gt;1,"Yes","No")</f>
        <v/>
      </c>
      <c r="M117" s="8" t="inlineStr"/>
    </row>
    <row r="118">
      <c r="A118" s="8" t="n">
        <v>117</v>
      </c>
      <c r="B118" s="8" t="n">
        <v>2022</v>
      </c>
      <c r="C118" s="8" t="inlineStr">
        <is>
          <t>Mixing driven by critical reflection of near-inertial waves over the Texas-Louisiana shelf</t>
        </is>
      </c>
      <c r="D118" s="8" t="inlineStr">
        <is>
          <t>10.1175/jpo-d-22-0004.1</t>
        </is>
      </c>
      <c r="E118" s="8" t="inlineStr"/>
      <c r="F118" s="8" t="inlineStr"/>
      <c r="G118" s="8" t="inlineStr"/>
      <c r="H118" s="10" t="inlineStr">
        <is>
          <t>Accepted / In press</t>
        </is>
      </c>
      <c r="I118" s="8" t="inlineStr"/>
      <c r="J118" s="8" t="inlineStr">
        <is>
          <t>FY23: Accepted / In press</t>
        </is>
      </c>
      <c r="K118" s="8">
        <f>COUNTIF(E118:I118,"&lt;&gt;")</f>
        <v/>
      </c>
      <c r="L118" s="8">
        <f>IF(K118&gt;1,"Yes","No")</f>
        <v/>
      </c>
      <c r="M118" s="8" t="inlineStr"/>
    </row>
    <row r="119">
      <c r="A119" s="8" t="n">
        <v>118</v>
      </c>
      <c r="B119" s="8" t="n">
        <v>2022</v>
      </c>
      <c r="C119" s="8" t="inlineStr">
        <is>
          <t>Mixing pathways in simple box models</t>
        </is>
      </c>
      <c r="D119" s="8" t="inlineStr">
        <is>
          <t>10.1175/jpo-d-22-0074.1</t>
        </is>
      </c>
      <c r="E119" s="8" t="inlineStr"/>
      <c r="F119" s="8" t="inlineStr"/>
      <c r="G119" s="9" t="inlineStr">
        <is>
          <t>Submitted / In review</t>
        </is>
      </c>
      <c r="H119" s="10" t="inlineStr">
        <is>
          <t>Accepted / In press</t>
        </is>
      </c>
      <c r="I119" s="8" t="inlineStr"/>
      <c r="J119" s="8" t="inlineStr">
        <is>
          <t>FY22: Submitted / In review; FY23: Accepted / In press</t>
        </is>
      </c>
      <c r="K119" s="8">
        <f>COUNTIF(E119:I119,"&lt;&gt;")</f>
        <v/>
      </c>
      <c r="L119" s="8">
        <f>IF(K119&gt;1,"Yes","No")</f>
        <v/>
      </c>
      <c r="M119" s="8" t="inlineStr"/>
    </row>
    <row r="120">
      <c r="A120" s="8" t="n">
        <v>119</v>
      </c>
      <c r="B120" s="8" t="n">
        <v>2022</v>
      </c>
      <c r="C120" s="8" t="inlineStr">
        <is>
          <t>Operational extreme weather event attribution can quantify climate change loss and damages</t>
        </is>
      </c>
      <c r="D120" s="8" t="inlineStr">
        <is>
          <t>10.1371/journal.pclm.0000013</t>
        </is>
      </c>
      <c r="E120" s="8" t="inlineStr"/>
      <c r="F120" s="8" t="inlineStr"/>
      <c r="G120" s="11" t="inlineStr">
        <is>
          <t>Published / Indexed</t>
        </is>
      </c>
      <c r="H120" s="8" t="inlineStr"/>
      <c r="I120" s="8" t="inlineStr"/>
      <c r="J120" s="8" t="inlineStr">
        <is>
          <t>FY22: Published / Indexed</t>
        </is>
      </c>
      <c r="K120" s="8">
        <f>COUNTIF(E120:I120,"&lt;&gt;")</f>
        <v/>
      </c>
      <c r="L120" s="8">
        <f>IF(K120&gt;1,"Yes","No")</f>
        <v/>
      </c>
      <c r="M120" s="8" t="inlineStr"/>
    </row>
    <row r="121">
      <c r="A121" s="8" t="n">
        <v>120</v>
      </c>
      <c r="B121" s="8" t="n">
        <v>2022</v>
      </c>
      <c r="C121" s="8" t="inlineStr">
        <is>
          <t>Rapid vertical exchange at fronts in the northern Gulf of Mexico</t>
        </is>
      </c>
      <c r="D121" s="8" t="inlineStr">
        <is>
          <t>10.1038/s41467-022-33251-7</t>
        </is>
      </c>
      <c r="E121" s="8" t="inlineStr"/>
      <c r="F121" s="8" t="inlineStr"/>
      <c r="G121" s="9" t="inlineStr">
        <is>
          <t>Submitted / In review</t>
        </is>
      </c>
      <c r="H121" s="9" t="inlineStr">
        <is>
          <t>Submitted / In review</t>
        </is>
      </c>
      <c r="I121" s="8" t="inlineStr"/>
      <c r="J121" s="8" t="inlineStr">
        <is>
          <t>FY22: Submitted / In review; FY23: Submitted / In review</t>
        </is>
      </c>
      <c r="K121" s="8">
        <f>COUNTIF(E121:I121,"&lt;&gt;")</f>
        <v/>
      </c>
      <c r="L121" s="8">
        <f>IF(K121&gt;1,"Yes","No")</f>
        <v/>
      </c>
      <c r="M121" s="8" t="inlineStr"/>
    </row>
    <row r="122">
      <c r="A122" s="8" t="n">
        <v>121</v>
      </c>
      <c r="B122" s="8" t="n">
        <v>2022</v>
      </c>
      <c r="C122" s="8" t="inlineStr">
        <is>
          <t>Roles of external forcing and internal variability in precipitation changes of a sub-region of the U.S. mid-Atlantic during 1979-2019</t>
        </is>
      </c>
      <c r="D122" s="8" t="inlineStr">
        <is>
          <t>10.1029/2022jd037493</t>
        </is>
      </c>
      <c r="E122" s="8" t="inlineStr"/>
      <c r="F122" s="8" t="inlineStr"/>
      <c r="G122" s="9" t="inlineStr">
        <is>
          <t>Submitted / In review</t>
        </is>
      </c>
      <c r="H122" s="11" t="inlineStr">
        <is>
          <t>Published / Indexed</t>
        </is>
      </c>
      <c r="I122" s="8" t="inlineStr"/>
      <c r="J122" s="8" t="inlineStr">
        <is>
          <t>FY22: Submitted / In review; FY23: Published / Indexed</t>
        </is>
      </c>
      <c r="K122" s="8">
        <f>COUNTIF(E122:I122,"&lt;&gt;")</f>
        <v/>
      </c>
      <c r="L122" s="8">
        <f>IF(K122&gt;1,"Yes","No")</f>
        <v/>
      </c>
      <c r="M122" s="8" t="inlineStr">
        <is>
          <t>FY22 used the working title “Precipitation Seasonality Change in the Mid-Atlantic Region: Forced Change and Natural Variability.”</t>
        </is>
      </c>
    </row>
    <row r="123">
      <c r="A123" s="8" t="n">
        <v>122</v>
      </c>
      <c r="B123" s="8" t="n">
        <v>2022</v>
      </c>
      <c r="C123" s="8" t="inlineStr">
        <is>
          <t>Seasonality of interbasin SST contributions to Atlantic tropical cyclone activity</t>
        </is>
      </c>
      <c r="D123" s="8" t="inlineStr">
        <is>
          <t>10.1029/2021gl096712</t>
        </is>
      </c>
      <c r="E123" s="8" t="inlineStr"/>
      <c r="F123" s="8" t="inlineStr"/>
      <c r="G123" s="8" t="inlineStr"/>
      <c r="H123" s="8" t="inlineStr"/>
      <c r="I123" s="8" t="inlineStr"/>
      <c r="J123" s="8" t="inlineStr"/>
      <c r="K123" s="8">
        <f>COUNTIF(E123:I123,"&lt;&gt;")</f>
        <v/>
      </c>
      <c r="L123" s="8">
        <f>IF(K123&gt;1,"Yes","No")</f>
        <v/>
      </c>
      <c r="M123" s="8" t="inlineStr"/>
    </row>
    <row r="124">
      <c r="A124" s="8" t="n">
        <v>123</v>
      </c>
      <c r="B124" s="8" t="n">
        <v>2022</v>
      </c>
      <c r="C124" s="8" t="inlineStr">
        <is>
          <t>Social inequalities in climate change-attributed impacts of hurricane Harvey</t>
        </is>
      </c>
      <c r="D124" s="8" t="inlineStr">
        <is>
          <t>10.1038/s41467-022-31056-2</t>
        </is>
      </c>
      <c r="E124" s="8" t="inlineStr"/>
      <c r="F124" s="8" t="inlineStr"/>
      <c r="G124" s="9" t="inlineStr">
        <is>
          <t>Submitted / In review</t>
        </is>
      </c>
      <c r="H124" s="11" t="inlineStr">
        <is>
          <t>Published / Indexed</t>
        </is>
      </c>
      <c r="I124" s="8" t="inlineStr"/>
      <c r="J124" s="8" t="inlineStr">
        <is>
          <t>FY22: Submitted / In review; FY23: Published / Indexed</t>
        </is>
      </c>
      <c r="K124" s="8">
        <f>COUNTIF(E124:I124,"&lt;&gt;")</f>
        <v/>
      </c>
      <c r="L124" s="8">
        <f>IF(K124&gt;1,"Yes","No")</f>
        <v/>
      </c>
      <c r="M124" s="8" t="inlineStr"/>
    </row>
    <row r="125">
      <c r="A125" s="8" t="n">
        <v>124</v>
      </c>
      <c r="B125" s="8" t="n">
        <v>2022</v>
      </c>
      <c r="C125" s="8" t="inlineStr">
        <is>
          <t>Spatial heterogeneity effects on land surface modeling of water and energy partitioning</t>
        </is>
      </c>
      <c r="D125" s="8" t="inlineStr">
        <is>
          <t>10.5194/gmd-15-5489-2022</t>
        </is>
      </c>
      <c r="E125" s="8" t="inlineStr"/>
      <c r="F125" s="8" t="inlineStr"/>
      <c r="G125" s="10" t="inlineStr">
        <is>
          <t>Accepted / In press</t>
        </is>
      </c>
      <c r="H125" s="11" t="inlineStr">
        <is>
          <t>Published / Indexed</t>
        </is>
      </c>
      <c r="I125" s="8" t="inlineStr"/>
      <c r="J125" s="8" t="inlineStr">
        <is>
          <t>FY22: Accepted / In press; FY23: Published / Indexed</t>
        </is>
      </c>
      <c r="K125" s="8">
        <f>COUNTIF(E125:I125,"&lt;&gt;")</f>
        <v/>
      </c>
      <c r="L125" s="8">
        <f>IF(K125&gt;1,"Yes","No")</f>
        <v/>
      </c>
      <c r="M125" s="8" t="inlineStr"/>
    </row>
    <row r="126">
      <c r="A126" s="8" t="n">
        <v>125</v>
      </c>
      <c r="B126" s="8" t="n">
        <v>2022</v>
      </c>
      <c r="C126" s="8" t="inlineStr">
        <is>
          <t>Spreading and mixing in near-field river plumes. In: Schuttelaars, H., Heemink, A., Deleersnijder, E. (eds) The Mathematics of Marine Modelling</t>
        </is>
      </c>
      <c r="D126" s="8" t="inlineStr">
        <is>
          <t>10.1007/978-3-031-09559-7_8</t>
        </is>
      </c>
      <c r="E126" s="8" t="inlineStr"/>
      <c r="F126" s="8" t="inlineStr"/>
      <c r="G126" s="8" t="inlineStr"/>
      <c r="H126" s="8" t="inlineStr"/>
      <c r="I126" s="8" t="inlineStr"/>
      <c r="J126" s="8" t="inlineStr"/>
      <c r="K126" s="8">
        <f>COUNTIF(E126:I126,"&lt;&gt;")</f>
        <v/>
      </c>
      <c r="L126" s="8">
        <f>IF(K126&gt;1,"Yes","No")</f>
        <v/>
      </c>
      <c r="M126" s="8" t="inlineStr"/>
    </row>
    <row r="127">
      <c r="A127" s="8" t="n">
        <v>126</v>
      </c>
      <c r="B127" s="8" t="n">
        <v>2022</v>
      </c>
      <c r="C127" s="8" t="inlineStr">
        <is>
          <t>Toward more actionable flood-risk information</t>
        </is>
      </c>
      <c r="D127" s="8" t="inlineStr">
        <is>
          <t>10.1029/2022ef003093</t>
        </is>
      </c>
      <c r="E127" s="8" t="inlineStr"/>
      <c r="F127" s="8" t="inlineStr"/>
      <c r="G127" s="9" t="inlineStr">
        <is>
          <t>Submitted / In review</t>
        </is>
      </c>
      <c r="H127" s="11" t="inlineStr">
        <is>
          <t>Published / Indexed</t>
        </is>
      </c>
      <c r="I127" s="8" t="inlineStr"/>
      <c r="J127" s="8" t="inlineStr">
        <is>
          <t>FY22: Submitted / In review; FY23: Published / Indexed</t>
        </is>
      </c>
      <c r="K127" s="8">
        <f>COUNTIF(E127:I127,"&lt;&gt;")</f>
        <v/>
      </c>
      <c r="L127" s="8">
        <f>IF(K127&gt;1,"Yes","No")</f>
        <v/>
      </c>
      <c r="M127" s="8" t="inlineStr">
        <is>
          <t>FY22 used the working title “Trade-offs in the design and communication of fluvial flood-risk information.”</t>
        </is>
      </c>
    </row>
    <row r="128">
      <c r="A128" s="8" t="n">
        <v>127</v>
      </c>
      <c r="B128" s="8" t="n">
        <v>2022</v>
      </c>
      <c r="C128" s="8" t="inlineStr">
        <is>
          <t>Uncertainty analysis in multi-sector systems: Considerations for risk analysis, projection, and planning for complex systems</t>
        </is>
      </c>
      <c r="D128" s="8" t="inlineStr">
        <is>
          <t>10.1029/2021ef002644</t>
        </is>
      </c>
      <c r="E128" s="8" t="inlineStr"/>
      <c r="F128" s="8" t="inlineStr"/>
      <c r="G128" s="8" t="inlineStr"/>
      <c r="H128" s="11" t="inlineStr">
        <is>
          <t>Published / Indexed</t>
        </is>
      </c>
      <c r="I128" s="8" t="inlineStr"/>
      <c r="J128" s="8" t="inlineStr">
        <is>
          <t>FY23: Published / Indexed</t>
        </is>
      </c>
      <c r="K128" s="8">
        <f>COUNTIF(E128:I128,"&lt;&gt;")</f>
        <v/>
      </c>
      <c r="L128" s="8">
        <f>IF(K128&gt;1,"Yes","No")</f>
        <v/>
      </c>
      <c r="M128" s="8" t="inlineStr"/>
    </row>
    <row r="129">
      <c r="A129" s="8" t="n">
        <v>128</v>
      </c>
      <c r="B129" s="8" t="n">
        <v>2022</v>
      </c>
      <c r="C129" s="8" t="inlineStr">
        <is>
          <t>Urbanization impact on regional climate and extreme weather: current understanding, uncertainties, and future research directions</t>
        </is>
      </c>
      <c r="D129" s="8" t="inlineStr">
        <is>
          <t>10.1007/s00376-021-1371-9</t>
        </is>
      </c>
      <c r="E129" s="8" t="inlineStr"/>
      <c r="F129" s="8" t="inlineStr"/>
      <c r="G129" s="11" t="inlineStr">
        <is>
          <t>Published / Indexed</t>
        </is>
      </c>
      <c r="H129" s="8" t="inlineStr"/>
      <c r="I129" s="8" t="inlineStr"/>
      <c r="J129" s="8" t="inlineStr">
        <is>
          <t>FY22: Published / Indexed</t>
        </is>
      </c>
      <c r="K129" s="8">
        <f>COUNTIF(E129:I129,"&lt;&gt;")</f>
        <v/>
      </c>
      <c r="L129" s="8">
        <f>IF(K129&gt;1,"Yes","No")</f>
        <v/>
      </c>
      <c r="M129" s="8" t="inlineStr"/>
    </row>
    <row r="130">
      <c r="A130" s="8" t="n">
        <v>129</v>
      </c>
      <c r="B130" s="8" t="n">
        <v>2022</v>
      </c>
      <c r="C130" s="8" t="inlineStr">
        <is>
          <t>Using a surrogate-assisted Bayesian framework to calibrate the runoff-generation scheme in the Energy Exascale Earth System Model (E3SM) v1</t>
        </is>
      </c>
      <c r="D130" s="8" t="inlineStr">
        <is>
          <t>10.5194/gmd-15-5021-2022</t>
        </is>
      </c>
      <c r="E130" s="8" t="inlineStr"/>
      <c r="F130" s="8" t="inlineStr"/>
      <c r="G130" s="10" t="inlineStr">
        <is>
          <t>Accepted / In press</t>
        </is>
      </c>
      <c r="H130" s="11" t="inlineStr">
        <is>
          <t>Published / Indexed</t>
        </is>
      </c>
      <c r="I130" s="8" t="inlineStr"/>
      <c r="J130" s="8" t="inlineStr">
        <is>
          <t>FY22: Accepted / In press; FY23: Published / Indexed</t>
        </is>
      </c>
      <c r="K130" s="8">
        <f>COUNTIF(E130:I130,"&lt;&gt;")</f>
        <v/>
      </c>
      <c r="L130" s="8">
        <f>IF(K130&gt;1,"Yes","No")</f>
        <v/>
      </c>
      <c r="M130" s="8" t="inlineStr"/>
    </row>
    <row r="131">
      <c r="A131" s="8" t="n">
        <v>130</v>
      </c>
      <c r="B131" s="8" t="n">
        <v>2021</v>
      </c>
      <c r="C131" s="8" t="inlineStr">
        <is>
          <t>A comprehensive intermediate-term drought evaluation system and evaluation of climate data products over the conterminous United States</t>
        </is>
      </c>
      <c r="D131" s="8" t="inlineStr">
        <is>
          <t>10.1175/jhm-d-20-0314.1</t>
        </is>
      </c>
      <c r="E131" s="8" t="inlineStr"/>
      <c r="F131" s="9" t="inlineStr">
        <is>
          <t>Submitted / In review</t>
        </is>
      </c>
      <c r="G131" s="11" t="inlineStr">
        <is>
          <t>Published / Indexed</t>
        </is>
      </c>
      <c r="H131" s="8" t="inlineStr"/>
      <c r="I131" s="8" t="inlineStr"/>
      <c r="J131" s="8" t="inlineStr">
        <is>
          <t>FY21: Submitted / In review; FY22: Published / Indexed</t>
        </is>
      </c>
      <c r="K131" s="8">
        <f>COUNTIF(E131:I131,"&lt;&gt;")</f>
        <v/>
      </c>
      <c r="L131" s="8">
        <f>IF(K131&gt;1,"Yes","No")</f>
        <v/>
      </c>
      <c r="M131" s="8" t="inlineStr">
        <is>
          <t>FY21 used the working title “Evaluation Metrics for Drought with Applications to Climate Model Products.”</t>
        </is>
      </c>
    </row>
    <row r="132">
      <c r="A132" s="8" t="n">
        <v>131</v>
      </c>
      <c r="B132" s="8" t="n">
        <v>2021</v>
      </c>
      <c r="C132" s="8" t="inlineStr">
        <is>
          <t>A high-resolution unified observational data product of mesoscale convective systems and isolated deep convection in the United States for 2004-2017</t>
        </is>
      </c>
      <c r="D132" s="8" t="inlineStr">
        <is>
          <t>10.5194/essd-13-827-2021</t>
        </is>
      </c>
      <c r="E132" s="9" t="inlineStr">
        <is>
          <t>Submitted / In review</t>
        </is>
      </c>
      <c r="F132" s="11" t="inlineStr">
        <is>
          <t>Published / Indexed</t>
        </is>
      </c>
      <c r="G132" s="8" t="inlineStr"/>
      <c r="H132" s="8" t="inlineStr"/>
      <c r="I132" s="8" t="inlineStr"/>
      <c r="J132" s="8" t="inlineStr">
        <is>
          <t>FY20: Submitted / In review; FY21: Published / Indexed</t>
        </is>
      </c>
      <c r="K132" s="8">
        <f>COUNTIF(E132:I132,"&lt;&gt;")</f>
        <v/>
      </c>
      <c r="L132" s="8">
        <f>IF(K132&gt;1,"Yes","No")</f>
        <v/>
      </c>
      <c r="M132" s="8" t="inlineStr"/>
    </row>
    <row r="133">
      <c r="A133" s="8" t="n">
        <v>132</v>
      </c>
      <c r="B133" s="8" t="n">
        <v>2021</v>
      </c>
      <c r="C133" s="8" t="inlineStr">
        <is>
          <t>A retrospective and prospective examination of the 1960s U.S. northeast drought</t>
        </is>
      </c>
      <c r="D133" s="8" t="inlineStr">
        <is>
          <t>10.1029/2020ef001930</t>
        </is>
      </c>
      <c r="E133" s="8" t="inlineStr"/>
      <c r="F133" s="9" t="inlineStr">
        <is>
          <t>Submitted / In review</t>
        </is>
      </c>
      <c r="G133" s="11" t="inlineStr">
        <is>
          <t>Published / Indexed</t>
        </is>
      </c>
      <c r="H133" s="8" t="inlineStr"/>
      <c r="I133" s="8" t="inlineStr"/>
      <c r="J133" s="8" t="inlineStr">
        <is>
          <t>FY21: Submitted / In review; FY22: Published / Indexed</t>
        </is>
      </c>
      <c r="K133" s="8">
        <f>COUNTIF(E133:I133,"&lt;&gt;")</f>
        <v/>
      </c>
      <c r="L133" s="8">
        <f>IF(K133&gt;1,"Yes","No")</f>
        <v/>
      </c>
      <c r="M133" s="8" t="inlineStr"/>
    </row>
    <row r="134">
      <c r="A134" s="8" t="n">
        <v>133</v>
      </c>
      <c r="B134" s="8" t="n">
        <v>2021</v>
      </c>
      <c r="C134" s="8" t="inlineStr">
        <is>
          <t>Attributable human-induced changes in the magnitude of flooding in the Houston, Texas region during Hurricane Harvey</t>
        </is>
      </c>
      <c r="D134" s="8" t="inlineStr">
        <is>
          <t>10.1007/s10584-021-03114-z</t>
        </is>
      </c>
      <c r="E134" s="8" t="inlineStr"/>
      <c r="F134" s="11" t="inlineStr">
        <is>
          <t>Published / Indexed</t>
        </is>
      </c>
      <c r="G134" s="8" t="inlineStr"/>
      <c r="H134" s="8" t="inlineStr"/>
      <c r="I134" s="8" t="inlineStr"/>
      <c r="J134" s="8" t="inlineStr">
        <is>
          <t>FY21: Published / Indexed</t>
        </is>
      </c>
      <c r="K134" s="8">
        <f>COUNTIF(E134:I134,"&lt;&gt;")</f>
        <v/>
      </c>
      <c r="L134" s="8">
        <f>IF(K134&gt;1,"Yes","No")</f>
        <v/>
      </c>
      <c r="M134" s="8" t="inlineStr"/>
    </row>
    <row r="135">
      <c r="A135" s="8" t="n">
        <v>134</v>
      </c>
      <c r="B135" s="8" t="n">
        <v>2021</v>
      </c>
      <c r="C135" s="8" t="inlineStr">
        <is>
          <t>Characterizing the nonlinear interactions between tide, storm surge, and river flow in the Delaware Bay Estuary, USA</t>
        </is>
      </c>
      <c r="D135" s="8" t="inlineStr">
        <is>
          <t>10.3389/fmars.2021.715557</t>
        </is>
      </c>
      <c r="E135" s="8" t="inlineStr"/>
      <c r="F135" s="9" t="inlineStr">
        <is>
          <t>Submitted / In review</t>
        </is>
      </c>
      <c r="G135" s="11" t="inlineStr">
        <is>
          <t>Published / Indexed</t>
        </is>
      </c>
      <c r="H135" s="8" t="inlineStr"/>
      <c r="I135" s="8" t="inlineStr"/>
      <c r="J135" s="8" t="inlineStr">
        <is>
          <t>FY21: Submitted / In review; FY22: Published / Indexed</t>
        </is>
      </c>
      <c r="K135" s="8">
        <f>COUNTIF(E135:I135,"&lt;&gt;")</f>
        <v/>
      </c>
      <c r="L135" s="8">
        <f>IF(K135&gt;1,"Yes","No")</f>
        <v/>
      </c>
      <c r="M135" s="8" t="inlineStr"/>
    </row>
    <row r="136">
      <c r="A136" s="8" t="n">
        <v>135</v>
      </c>
      <c r="B136" s="8" t="n">
        <v>2021</v>
      </c>
      <c r="C136" s="8" t="inlineStr">
        <is>
          <t>Climatological analysis of tropical cyclone impacts on hydrological extremes in the Mid-Atlantic region of the United States</t>
        </is>
      </c>
      <c r="D136" s="8" t="inlineStr">
        <is>
          <t>10.1088/1748-9326/ac2d6a</t>
        </is>
      </c>
      <c r="E136" s="8" t="inlineStr"/>
      <c r="F136" s="9" t="inlineStr">
        <is>
          <t>Submitted / In review</t>
        </is>
      </c>
      <c r="G136" s="11" t="inlineStr">
        <is>
          <t>Published / Indexed</t>
        </is>
      </c>
      <c r="H136" s="8" t="inlineStr"/>
      <c r="I136" s="8" t="inlineStr"/>
      <c r="J136" s="8" t="inlineStr">
        <is>
          <t>FY21: Submitted / In review; FY22: Published / Indexed</t>
        </is>
      </c>
      <c r="K136" s="8">
        <f>COUNTIF(E136:I136,"&lt;&gt;")</f>
        <v/>
      </c>
      <c r="L136" s="8">
        <f>IF(K136&gt;1,"Yes","No")</f>
        <v/>
      </c>
      <c r="M136" s="8" t="inlineStr">
        <is>
          <t>FY21 used the working title “Impact of tropical cyclones on hydrological extremes in the mid-Atlantic region.”</t>
        </is>
      </c>
    </row>
    <row r="137">
      <c r="A137" s="8" t="n">
        <v>136</v>
      </c>
      <c r="B137" s="8" t="n">
        <v>2021</v>
      </c>
      <c r="C137" s="8" t="inlineStr">
        <is>
          <t>Deep learning experiments for tropical cyclone intensity forecasts</t>
        </is>
      </c>
      <c r="D137" s="8" t="inlineStr">
        <is>
          <t>10.1175/waf-d-20-0104.1</t>
        </is>
      </c>
      <c r="E137" s="8" t="inlineStr"/>
      <c r="F137" s="10" t="inlineStr">
        <is>
          <t>Accepted / In press</t>
        </is>
      </c>
      <c r="G137" s="11" t="inlineStr">
        <is>
          <t>Published / Indexed</t>
        </is>
      </c>
      <c r="H137" s="8" t="inlineStr"/>
      <c r="I137" s="8" t="inlineStr"/>
      <c r="J137" s="8" t="inlineStr">
        <is>
          <t>FY21: Accepted / In press; FY22: Published / Indexed</t>
        </is>
      </c>
      <c r="K137" s="8">
        <f>COUNTIF(E137:I137,"&lt;&gt;")</f>
        <v/>
      </c>
      <c r="L137" s="8">
        <f>IF(K137&gt;1,"Yes","No")</f>
        <v/>
      </c>
      <c r="M137" s="8" t="inlineStr"/>
    </row>
    <row r="138">
      <c r="A138" s="8" t="n">
        <v>137</v>
      </c>
      <c r="B138" s="8" t="n">
        <v>2021</v>
      </c>
      <c r="C138" s="8" t="inlineStr">
        <is>
          <t>Extreme sea levels at different global warming levels</t>
        </is>
      </c>
      <c r="D138" s="8" t="inlineStr">
        <is>
          <t>10.1038/s41558-021-01127-1</t>
        </is>
      </c>
      <c r="E138" s="8" t="inlineStr"/>
      <c r="F138" s="9" t="inlineStr">
        <is>
          <t>Submitted / In review</t>
        </is>
      </c>
      <c r="G138" s="11" t="inlineStr">
        <is>
          <t>Published / Indexed</t>
        </is>
      </c>
      <c r="H138" s="8" t="inlineStr"/>
      <c r="I138" s="8" t="inlineStr"/>
      <c r="J138" s="8" t="inlineStr">
        <is>
          <t>FY21: Submitted / In review; FY22: Published / Indexed</t>
        </is>
      </c>
      <c r="K138" s="8">
        <f>COUNTIF(E138:I138,"&lt;&gt;")</f>
        <v/>
      </c>
      <c r="L138" s="8">
        <f>IF(K138&gt;1,"Yes","No")</f>
        <v/>
      </c>
      <c r="M138" s="8" t="inlineStr"/>
    </row>
    <row r="139">
      <c r="A139" s="8" t="n">
        <v>138</v>
      </c>
      <c r="B139" s="8" t="n">
        <v>2021</v>
      </c>
      <c r="C139" s="8" t="inlineStr">
        <is>
          <t>HyRiver: hydroclimate data retreiver</t>
        </is>
      </c>
      <c r="D139" s="8" t="inlineStr">
        <is>
          <t>10.21105/joss.03175</t>
        </is>
      </c>
      <c r="E139" s="8" t="inlineStr"/>
      <c r="F139" s="9" t="inlineStr">
        <is>
          <t>Submitted / In review</t>
        </is>
      </c>
      <c r="G139" s="11" t="inlineStr">
        <is>
          <t>Published / Indexed</t>
        </is>
      </c>
      <c r="H139" s="8" t="inlineStr"/>
      <c r="I139" s="8" t="inlineStr"/>
      <c r="J139" s="8" t="inlineStr">
        <is>
          <t>FY21: Submitted / In review; FY22: Published / Indexed</t>
        </is>
      </c>
      <c r="K139" s="8">
        <f>COUNTIF(E139:I139,"&lt;&gt;")</f>
        <v/>
      </c>
      <c r="L139" s="8">
        <f>IF(K139&gt;1,"Yes","No")</f>
        <v/>
      </c>
      <c r="M139" s="8" t="inlineStr"/>
    </row>
    <row r="140">
      <c r="A140" s="8" t="n">
        <v>139</v>
      </c>
      <c r="B140" s="8" t="n">
        <v>2021</v>
      </c>
      <c r="C140" s="8" t="inlineStr">
        <is>
          <t>Integrating CVMix into GOTM (v6.0): a consistent framework for testing, comparing, and applying ocean mixing schemes</t>
        </is>
      </c>
      <c r="D140" s="8" t="inlineStr">
        <is>
          <t>10.5194/gmd-14-4261-2021</t>
        </is>
      </c>
      <c r="E140" s="8" t="inlineStr"/>
      <c r="F140" s="9" t="inlineStr">
        <is>
          <t>Submitted / In review</t>
        </is>
      </c>
      <c r="G140" s="11" t="inlineStr">
        <is>
          <t>Published / Indexed</t>
        </is>
      </c>
      <c r="H140" s="8" t="inlineStr"/>
      <c r="I140" s="8" t="inlineStr"/>
      <c r="J140" s="8" t="inlineStr">
        <is>
          <t>FY21: Submitted / In review; FY22: Published / Indexed</t>
        </is>
      </c>
      <c r="K140" s="8">
        <f>COUNTIF(E140:I140,"&lt;&gt;")</f>
        <v/>
      </c>
      <c r="L140" s="8">
        <f>IF(K140&gt;1,"Yes","No")</f>
        <v/>
      </c>
      <c r="M140" s="8" t="inlineStr"/>
    </row>
    <row r="141">
      <c r="A141" s="8" t="n">
        <v>140</v>
      </c>
      <c r="B141" s="8" t="n">
        <v>2021</v>
      </c>
      <c r="C141" s="8" t="inlineStr">
        <is>
          <t>Local time stepping for the shallow water equations in MPAS</t>
        </is>
      </c>
      <c r="D141" s="8" t="inlineStr">
        <is>
          <t>10.1016/j.jcp.2021.110818</t>
        </is>
      </c>
      <c r="E141" s="8" t="inlineStr"/>
      <c r="F141" s="8" t="inlineStr"/>
      <c r="G141" s="11" t="inlineStr">
        <is>
          <t>Published / Indexed</t>
        </is>
      </c>
      <c r="H141" s="8" t="inlineStr"/>
      <c r="I141" s="8" t="inlineStr"/>
      <c r="J141" s="8" t="inlineStr">
        <is>
          <t>FY22: Published / Indexed</t>
        </is>
      </c>
      <c r="K141" s="8">
        <f>COUNTIF(E141:I141,"&lt;&gt;")</f>
        <v/>
      </c>
      <c r="L141" s="8">
        <f>IF(K141&gt;1,"Yes","No")</f>
        <v/>
      </c>
      <c r="M141" s="8" t="inlineStr"/>
    </row>
    <row r="142">
      <c r="A142" s="8" t="n">
        <v>141</v>
      </c>
      <c r="B142" s="8" t="n">
        <v>2021</v>
      </c>
      <c r="C142" s="8" t="inlineStr">
        <is>
          <t>Population downscaling using high-resolution, temporally-rich U.S. property data</t>
        </is>
      </c>
      <c r="D142" s="8" t="inlineStr">
        <is>
          <t>10.1080/15230406.2021.1991479</t>
        </is>
      </c>
      <c r="E142" s="8" t="inlineStr"/>
      <c r="F142" s="9" t="inlineStr">
        <is>
          <t>Submitted / In review</t>
        </is>
      </c>
      <c r="G142" s="11" t="inlineStr">
        <is>
          <t>Published / Indexed</t>
        </is>
      </c>
      <c r="H142" s="8" t="inlineStr"/>
      <c r="I142" s="8" t="inlineStr"/>
      <c r="J142" s="8" t="inlineStr">
        <is>
          <t>FY21: Submitted / In review; FY22: Published / Indexed</t>
        </is>
      </c>
      <c r="K142" s="8">
        <f>COUNTIF(E142:I142,"&lt;&gt;")</f>
        <v/>
      </c>
      <c r="L142" s="8">
        <f>IF(K142&gt;1,"Yes","No")</f>
        <v/>
      </c>
      <c r="M142" s="8" t="inlineStr"/>
    </row>
    <row r="143">
      <c r="A143" s="8" t="n">
        <v>142</v>
      </c>
      <c r="B143" s="8" t="n">
        <v>2021</v>
      </c>
      <c r="C143" s="8" t="inlineStr">
        <is>
          <t>Simulated changes in tropical cyclone size, accumulated cyclone energy and power dissipation index in a warmer climate</t>
        </is>
      </c>
      <c r="D143" s="8" t="inlineStr">
        <is>
          <t>10.3390/oceans2040039</t>
        </is>
      </c>
      <c r="E143" s="8" t="inlineStr"/>
      <c r="F143" s="9" t="inlineStr">
        <is>
          <t>Submitted / In review</t>
        </is>
      </c>
      <c r="G143" s="11" t="inlineStr">
        <is>
          <t>Published / Indexed</t>
        </is>
      </c>
      <c r="H143" s="8" t="inlineStr"/>
      <c r="I143" s="8" t="inlineStr"/>
      <c r="J143" s="8" t="inlineStr">
        <is>
          <t>FY21: Submitted / In review; FY22: Published / Indexed</t>
        </is>
      </c>
      <c r="K143" s="8">
        <f>COUNTIF(E143:I143,"&lt;&gt;")</f>
        <v/>
      </c>
      <c r="L143" s="8">
        <f>IF(K143&gt;1,"Yes","No")</f>
        <v/>
      </c>
      <c r="M143" s="8" t="inlineStr"/>
    </row>
    <row r="144">
      <c r="A144" s="8" t="n">
        <v>143</v>
      </c>
      <c r="B144" s="8" t="n">
        <v>2021</v>
      </c>
      <c r="C144" s="8" t="inlineStr">
        <is>
          <t>Summer mean and extreme precipitation over the Mid-Atlantic region: Climatological characteristics and contributions from different precipitation types</t>
        </is>
      </c>
      <c r="D144" s="8" t="inlineStr">
        <is>
          <t>10.1029/2021jd035045</t>
        </is>
      </c>
      <c r="E144" s="8" t="inlineStr"/>
      <c r="F144" s="9" t="inlineStr">
        <is>
          <t>Submitted / In review</t>
        </is>
      </c>
      <c r="G144" s="11" t="inlineStr">
        <is>
          <t>Published / Indexed</t>
        </is>
      </c>
      <c r="H144" s="8" t="inlineStr"/>
      <c r="I144" s="8" t="inlineStr"/>
      <c r="J144" s="8" t="inlineStr">
        <is>
          <t>FY21: Submitted / In review; FY22: Published / Indexed</t>
        </is>
      </c>
      <c r="K144" s="8">
        <f>COUNTIF(E144:I144,"&lt;&gt;")</f>
        <v/>
      </c>
      <c r="L144" s="8">
        <f>IF(K144&gt;1,"Yes","No")</f>
        <v/>
      </c>
      <c r="M144" s="8" t="inlineStr"/>
    </row>
    <row r="145">
      <c r="A145" s="8" t="n">
        <v>144</v>
      </c>
      <c r="B145" s="8" t="n">
        <v>2021</v>
      </c>
      <c r="C145" s="8" t="inlineStr">
        <is>
          <t>Urbanization amplifies nighttime heat stress on warmer days over the US</t>
        </is>
      </c>
      <c r="D145" s="8" t="inlineStr">
        <is>
          <t>10.1029/2021gl095678</t>
        </is>
      </c>
      <c r="E145" s="8" t="inlineStr"/>
      <c r="F145" s="8" t="inlineStr"/>
      <c r="G145" s="8" t="inlineStr"/>
      <c r="H145" s="8" t="inlineStr"/>
      <c r="I145" s="8" t="inlineStr"/>
      <c r="J145" s="8" t="inlineStr"/>
      <c r="K145" s="8">
        <f>COUNTIF(E145:I145,"&lt;&gt;")</f>
        <v/>
      </c>
      <c r="L145" s="8">
        <f>IF(K145&gt;1,"Yes","No")</f>
        <v/>
      </c>
      <c r="M145" s="8" t="inlineStr"/>
    </row>
    <row r="146">
      <c r="A146" s="8" t="n">
        <v>145</v>
      </c>
      <c r="B146" s="8" t="n">
        <v>2020</v>
      </c>
      <c r="C146" s="8" t="inlineStr">
        <is>
          <t>Challenges in predicting the coevolution of natural and human systems on coastal regions</t>
        </is>
      </c>
      <c r="D146" s="8" t="inlineStr">
        <is>
          <t>10.5065/fp9y-ae42</t>
        </is>
      </c>
      <c r="E146" s="8" t="inlineStr"/>
      <c r="F146" s="11" t="inlineStr">
        <is>
          <t>Published / Indexed</t>
        </is>
      </c>
      <c r="G146" s="8" t="inlineStr"/>
      <c r="H146" s="8" t="inlineStr"/>
      <c r="I146" s="8" t="inlineStr"/>
      <c r="J146" s="8" t="inlineStr">
        <is>
          <t>FY21: Published / Indexed</t>
        </is>
      </c>
      <c r="K146" s="8">
        <f>COUNTIF(E146:I146,"&lt;&gt;")</f>
        <v/>
      </c>
      <c r="L146" s="8">
        <f>IF(K146&gt;1,"Yes","No")</f>
        <v/>
      </c>
      <c r="M146" s="8" t="inlineStr"/>
    </row>
    <row r="147">
      <c r="A147" s="8" t="n">
        <v>146</v>
      </c>
      <c r="B147" s="8" t="n">
        <v>2020</v>
      </c>
      <c r="C147" s="8" t="inlineStr">
        <is>
          <t>Spatiotemporal Characteristics and Propagation of Summer Extreme Precipitation Events Over United States: A Complex Network Analysis</t>
        </is>
      </c>
      <c r="D147" s="8" t="inlineStr">
        <is>
          <t>10.1029/2020gl088185</t>
        </is>
      </c>
      <c r="E147" s="8" t="inlineStr"/>
      <c r="F147" s="11" t="inlineStr">
        <is>
          <t>Published / Indexed</t>
        </is>
      </c>
      <c r="G147" s="8" t="inlineStr"/>
      <c r="H147" s="8" t="inlineStr"/>
      <c r="I147" s="8" t="inlineStr"/>
      <c r="J147" s="8" t="inlineStr">
        <is>
          <t>FY21: Published / Indexed</t>
        </is>
      </c>
      <c r="K147" s="8">
        <f>COUNTIF(E147:I147,"&lt;&gt;")</f>
        <v/>
      </c>
      <c r="L147" s="8">
        <f>IF(K147&gt;1,"Yes","No")</f>
        <v/>
      </c>
      <c r="M147" s="8" t="inlineStr"/>
    </row>
  </sheetData>
  <autoFilter ref="A1:M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2" customWidth="1" min="4" max="4"/>
    <col width="20" customWidth="1" min="5" max="5"/>
    <col width="24" customWidth="1" min="6" max="6"/>
    <col width="23" customWidth="1" min="7" max="7"/>
    <col width="25" customWidth="1" min="8" max="8"/>
    <col width="40" customWidth="1" min="9" max="9"/>
    <col width="28" customWidth="1" min="10" max="10"/>
    <col width="65" customWidth="1" min="11" max="11"/>
  </cols>
  <sheetData>
    <row r="1">
      <c r="A1" s="12" t="inlineStr">
        <is>
          <t>Fiscal Year</t>
        </is>
      </c>
      <c r="B1" s="12" t="inlineStr">
        <is>
          <t>Annual Report</t>
        </is>
      </c>
      <c r="C1" s="12" t="inlineStr">
        <is>
          <t>Reporting Period</t>
        </is>
      </c>
      <c r="D1" s="12" t="inlineStr">
        <is>
          <t>Stated Publication Count</t>
        </is>
      </c>
      <c r="E1" s="12" t="inlineStr">
        <is>
          <t>Detailed List Count</t>
        </is>
      </c>
      <c r="F1" s="12" t="inlineStr">
        <is>
          <t>Matched to Current Tracker</t>
        </is>
      </c>
      <c r="G1" s="12" t="inlineStr">
        <is>
          <t>Not in Current Tracker</t>
        </is>
      </c>
      <c r="H1" s="12" t="inlineStr">
        <is>
          <t>Difference: Detailed vs Stated</t>
        </is>
      </c>
      <c r="I1" s="12" t="inlineStr">
        <is>
          <t>Source File</t>
        </is>
      </c>
      <c r="J1" s="12" t="inlineStr">
        <is>
          <t>Source Location</t>
        </is>
      </c>
      <c r="K1" s="12" t="inlineStr">
        <is>
          <t>Assessment Notes</t>
        </is>
      </c>
    </row>
    <row r="2">
      <c r="A2" s="8" t="inlineStr">
        <is>
          <t>FY20</t>
        </is>
      </c>
      <c r="B2" s="8" t="inlineStr">
        <is>
          <t>ICoM 2020 Annual Report</t>
        </is>
      </c>
      <c r="C2" s="8" t="inlineStr">
        <is>
          <t>Oct. 7, 2019–May 31, 2020</t>
        </is>
      </c>
      <c r="D2" s="8" t="n">
        <v>2</v>
      </c>
      <c r="E2" s="8" t="n">
        <v>2</v>
      </c>
      <c r="F2" s="8" t="n">
        <v>2</v>
      </c>
      <c r="G2" s="8" t="n">
        <v>0</v>
      </c>
      <c r="H2" s="8">
        <f>E2-D2</f>
        <v/>
      </c>
      <c r="I2" s="8" t="inlineStr">
        <is>
          <t>PNNL_ICoM_2020_Annual_Report_FINAL.pdf</t>
        </is>
      </c>
      <c r="J2" s="8" t="inlineStr">
        <is>
          <t>Body, PDF p. 8</t>
        </is>
      </c>
      <c r="K2" s="8" t="inlineStr">
        <is>
          <t>The 2020 report did not have a publications appendix; the two manuscripts were listed in the performance overview.</t>
        </is>
      </c>
    </row>
    <row r="3">
      <c r="A3" s="8" t="inlineStr">
        <is>
          <t>FY21</t>
        </is>
      </c>
      <c r="B3" s="8" t="inlineStr">
        <is>
          <t>ICoM 2021 Annual Report</t>
        </is>
      </c>
      <c r="C3" s="8" t="inlineStr">
        <is>
          <t>June 1, 2020–May 31, 2021</t>
        </is>
      </c>
      <c r="D3" s="8" t="n">
        <v>19</v>
      </c>
      <c r="E3" s="8" t="n">
        <v>19</v>
      </c>
      <c r="F3" s="8" t="n">
        <v>18</v>
      </c>
      <c r="G3" s="8" t="n">
        <v>1</v>
      </c>
      <c r="H3" s="8">
        <f>E3-D3</f>
        <v/>
      </c>
      <c r="I3" s="8" t="inlineStr">
        <is>
          <t>ICoM_2021_Annual_Report_FINAL.pdf</t>
        </is>
      </c>
      <c r="J3" s="8" t="inlineStr">
        <is>
          <t>Appendix A, PDF pp. 35–36</t>
        </is>
      </c>
      <c r="K3" s="8" t="inlineStr">
        <is>
          <t>Detailed list and stated total reconcile.</t>
        </is>
      </c>
    </row>
    <row r="4">
      <c r="A4" s="8" t="inlineStr">
        <is>
          <t>FY22</t>
        </is>
      </c>
      <c r="B4" s="8" t="inlineStr">
        <is>
          <t>ICoM 2022 Annual Report</t>
        </is>
      </c>
      <c r="C4" s="8" t="inlineStr">
        <is>
          <t>June 1, 2021–May 31, 2022</t>
        </is>
      </c>
      <c r="D4" s="8" t="n">
        <v>46</v>
      </c>
      <c r="E4" s="8" t="n">
        <v>46</v>
      </c>
      <c r="F4" s="8" t="n">
        <v>45</v>
      </c>
      <c r="G4" s="8" t="n">
        <v>1</v>
      </c>
      <c r="H4" s="8">
        <f>E4-D4</f>
        <v/>
      </c>
      <c r="I4" s="8" t="inlineStr">
        <is>
          <t>PNNL_ICoM_2022_Annual_Report.pdf</t>
        </is>
      </c>
      <c r="J4" s="8" t="inlineStr">
        <is>
          <t>Appendix A, PDF pp. 35–38</t>
        </is>
      </c>
      <c r="K4" s="8" t="inlineStr">
        <is>
          <t>Detailed list and stated total reconcile.</t>
        </is>
      </c>
    </row>
    <row r="5">
      <c r="A5" s="8" t="inlineStr">
        <is>
          <t>FY23</t>
        </is>
      </c>
      <c r="B5" s="8" t="inlineStr">
        <is>
          <t>ICoM 2023 Annual Report</t>
        </is>
      </c>
      <c r="C5" s="8" t="inlineStr">
        <is>
          <t>June 1, 2022–May 31, 2023</t>
        </is>
      </c>
      <c r="D5" s="8" t="n">
        <v>57</v>
      </c>
      <c r="E5" s="8" t="n">
        <v>59</v>
      </c>
      <c r="F5" s="8" t="n">
        <v>56</v>
      </c>
      <c r="G5" s="8" t="n">
        <v>3</v>
      </c>
      <c r="H5" s="8">
        <f>E5-D5</f>
        <v/>
      </c>
      <c r="I5" s="8" t="inlineStr">
        <is>
          <t>PNNL_ICoM_2023_Annual_Report_Final.pdf</t>
        </is>
      </c>
      <c r="J5" s="8" t="inlineStr">
        <is>
          <t>Appendix A, PDF pp. 36–41</t>
        </is>
      </c>
      <c r="K5" s="8" t="inlineStr">
        <is>
          <t>The overview says 57 publications, while the detailed Appendix A sections total 59 (33 published + 26 pipeline).</t>
        </is>
      </c>
    </row>
    <row r="6">
      <c r="A6" s="8" t="inlineStr">
        <is>
          <t>FY24</t>
        </is>
      </c>
      <c r="B6" s="8" t="inlineStr">
        <is>
          <t>ICoM 2024 Annual Report</t>
        </is>
      </c>
      <c r="C6" s="8" t="inlineStr">
        <is>
          <t>June 1, 2023–Dec. 31, 2024</t>
        </is>
      </c>
      <c r="D6" s="8" t="n">
        <v>66</v>
      </c>
      <c r="E6" s="8" t="n">
        <v>63</v>
      </c>
      <c r="F6" s="8" t="n">
        <v>58</v>
      </c>
      <c r="G6" s="8" t="n">
        <v>5</v>
      </c>
      <c r="H6" s="8">
        <f>E6-D6</f>
        <v/>
      </c>
      <c r="I6" s="8" t="inlineStr">
        <is>
          <t>ICoM 2024 Annual Report.pdf</t>
        </is>
      </c>
      <c r="J6" s="8" t="inlineStr">
        <is>
          <t>Appendix A, PDF pp. 39–44</t>
        </is>
      </c>
      <c r="K6" s="8" t="inlineStr">
        <is>
          <t>The appendix says 66 publications, but the category counts shown are 33 published + 30 pipeline = 63.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3" t="inlineStr">
        <is>
          <t>Fiscal Year</t>
        </is>
      </c>
      <c r="B1" s="13" t="inlineStr">
        <is>
          <t>Matched</t>
        </is>
      </c>
      <c r="C1" s="13" t="inlineStr">
        <is>
          <t>Not in Tracker</t>
        </is>
      </c>
    </row>
    <row r="2">
      <c r="A2" t="inlineStr">
        <is>
          <t>FY20</t>
        </is>
      </c>
      <c r="B2" t="n">
        <v>2</v>
      </c>
      <c r="C2" t="n">
        <v>0</v>
      </c>
    </row>
    <row r="3">
      <c r="A3" t="inlineStr">
        <is>
          <t>FY21</t>
        </is>
      </c>
      <c r="B3" t="n">
        <v>18</v>
      </c>
      <c r="C3" t="n">
        <v>1</v>
      </c>
    </row>
    <row r="4">
      <c r="A4" t="inlineStr">
        <is>
          <t>FY22</t>
        </is>
      </c>
      <c r="B4" t="n">
        <v>45</v>
      </c>
      <c r="C4" t="n">
        <v>1</v>
      </c>
    </row>
    <row r="5">
      <c r="A5" t="inlineStr">
        <is>
          <t>FY23</t>
        </is>
      </c>
      <c r="B5" t="n">
        <v>56</v>
      </c>
      <c r="C5" t="n">
        <v>3</v>
      </c>
    </row>
    <row r="6">
      <c r="A6" t="inlineStr">
        <is>
          <t>FY24</t>
        </is>
      </c>
      <c r="B6" t="n">
        <v>58</v>
      </c>
      <c r="C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0" customWidth="1" min="3" max="3"/>
    <col width="72" customWidth="1" min="4" max="4"/>
  </cols>
  <sheetData>
    <row r="1">
      <c r="A1" s="14" t="inlineStr">
        <is>
          <t>Fiscal Year</t>
        </is>
      </c>
      <c r="B1" s="14" t="inlineStr">
        <is>
          <t>Status at Report</t>
        </is>
      </c>
      <c r="C1" s="14" t="inlineStr">
        <is>
          <t>Reported Title</t>
        </is>
      </c>
      <c r="D1" s="14" t="inlineStr">
        <is>
          <t>Notes</t>
        </is>
      </c>
    </row>
    <row r="2">
      <c r="A2" s="8" t="inlineStr">
        <is>
          <t>FY21</t>
        </is>
      </c>
      <c r="B2" s="8" t="inlineStr">
        <is>
          <t>Submitted / In review</t>
        </is>
      </c>
      <c r="C2" s="8" t="inlineStr">
        <is>
          <t>Comparing Emulation Methods for a High-resolution Storm Surge Model</t>
        </is>
      </c>
      <c r="D2" s="8" t="inlineStr">
        <is>
          <t>Listed in the 2021 report but no matching record appears in the 7/23/2026 report-ready tracker export.</t>
        </is>
      </c>
    </row>
    <row r="3">
      <c r="A3" s="8" t="inlineStr">
        <is>
          <t>FY22</t>
        </is>
      </c>
      <c r="B3" s="8" t="inlineStr">
        <is>
          <t>Submitted / In review</t>
        </is>
      </c>
      <c r="C3" s="8" t="inlineStr">
        <is>
          <t>Comparing Emulation Methods for a High-resolution Storm Surge Model</t>
        </is>
      </c>
      <c r="D3" s="8" t="inlineStr">
        <is>
          <t>Repeated in the 2022 report; still absent from the current tracker export.</t>
        </is>
      </c>
    </row>
    <row r="4">
      <c r="A4" s="8" t="inlineStr">
        <is>
          <t>FY23</t>
        </is>
      </c>
      <c r="B4" s="8" t="inlineStr">
        <is>
          <t>Published / Indexed</t>
        </is>
      </c>
      <c r="C4" s="8" t="inlineStr">
        <is>
          <t>A Modeling Testbed and Dataset for Coastal Hypoxia Research</t>
        </is>
      </c>
      <c r="D4" s="8" t="inlineStr">
        <is>
          <t>P. St-Laurent and M. A. M. Friedrichs dataset, DOI 10.25773/q2kh-rd09; not found in the current tracker export.</t>
        </is>
      </c>
    </row>
    <row r="5">
      <c r="A5" s="8" t="inlineStr">
        <is>
          <t>FY23</t>
        </is>
      </c>
      <c r="B5" s="8" t="inlineStr">
        <is>
          <t>Submitted / In review</t>
        </is>
      </c>
      <c r="C5" s="8" t="inlineStr">
        <is>
          <t>Comparing Emulation Methods for a High-resolution Storm Surge Model</t>
        </is>
      </c>
      <c r="D5" s="8" t="inlineStr">
        <is>
          <t>Repeated in the 2023 report; still absent from the current tracker export.</t>
        </is>
      </c>
    </row>
    <row r="6">
      <c r="A6" s="8" t="inlineStr">
        <is>
          <t>FY23</t>
        </is>
      </c>
      <c r="B6" s="8" t="inlineStr">
        <is>
          <t>Submitted / In review</t>
        </is>
      </c>
      <c r="C6" s="8" t="inlineStr">
        <is>
          <t>Is land use producing robust signals in future projections from CMIP6 Earth system models?</t>
        </is>
      </c>
      <c r="D6" s="8" t="inlineStr">
        <is>
          <t>Tebaldi et al.; no matching current tracker record found.</t>
        </is>
      </c>
    </row>
    <row r="7">
      <c r="A7" s="8" t="inlineStr">
        <is>
          <t>FY24</t>
        </is>
      </c>
      <c r="B7" s="8" t="inlineStr">
        <is>
          <t>Submitted / In review</t>
        </is>
      </c>
      <c r="C7" s="8" t="inlineStr">
        <is>
          <t>Global atmospheric river lifecycle detection using integrated water vapor and vapor transport</t>
        </is>
      </c>
      <c r="D7" s="8" t="inlineStr">
        <is>
          <t>Kerns &amp; Chen; no matching current tracker record found.</t>
        </is>
      </c>
    </row>
    <row r="8">
      <c r="A8" s="8" t="inlineStr">
        <is>
          <t>FY24</t>
        </is>
      </c>
      <c r="B8" s="8" t="inlineStr">
        <is>
          <t>Submitted / In review</t>
        </is>
      </c>
      <c r="C8" s="8" t="inlineStr">
        <is>
          <t>Global warming promotes the development of mesoscale convective systems but hinders the initiation of isolated deep convection in the central-Eastern United States</t>
        </is>
      </c>
      <c r="D8" s="8" t="inlineStr">
        <is>
          <t>Li et al.; no matching current tracker record found.</t>
        </is>
      </c>
    </row>
    <row r="9">
      <c r="A9" s="8" t="inlineStr">
        <is>
          <t>FY24</t>
        </is>
      </c>
      <c r="B9" s="8" t="inlineStr">
        <is>
          <t>Submitted / In review</t>
        </is>
      </c>
      <c r="C9" s="8" t="inlineStr">
        <is>
          <t>Mercury budget in global rivers at present-day: impacts from reservoirs and dams</t>
        </is>
      </c>
      <c r="D9" s="8" t="inlineStr">
        <is>
          <t>Peng et al.; no matching current tracker record found.</t>
        </is>
      </c>
    </row>
    <row r="10">
      <c r="A10" s="8" t="inlineStr">
        <is>
          <t>FY24</t>
        </is>
      </c>
      <c r="B10" s="8" t="inlineStr">
        <is>
          <t>Submitted / In review</t>
        </is>
      </c>
      <c r="C10" s="8" t="inlineStr">
        <is>
          <t>Data-driven urban growth modeling: common practices, potential pitfalls, and new directions</t>
        </is>
      </c>
      <c r="D10" s="8" t="inlineStr">
        <is>
          <t>Roy Chowdhury et al.; no matching current tracker record found.</t>
        </is>
      </c>
    </row>
    <row r="11">
      <c r="A11" s="8" t="inlineStr">
        <is>
          <t>FY24</t>
        </is>
      </c>
      <c r="B11" s="8" t="inlineStr">
        <is>
          <t>Submitted / In review</t>
        </is>
      </c>
      <c r="C11" s="8" t="inlineStr">
        <is>
          <t>The past and future changes of river sediment in the U.S. Mid-Atlantic</t>
        </is>
      </c>
      <c r="D11" s="8" t="inlineStr">
        <is>
          <t>Tan et al.; no matching current tracker record found.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70" customWidth="1" min="3" max="3"/>
    <col width="14" customWidth="1" min="4" max="4"/>
    <col width="24" customWidth="1" min="5" max="5"/>
    <col width="58" customWidth="1" min="6" max="6"/>
    <col width="42" customWidth="1" min="7" max="7"/>
    <col width="30" customWidth="1" min="8" max="8"/>
  </cols>
  <sheetData>
    <row r="1">
      <c r="A1" s="15" t="inlineStr">
        <is>
          <t>Record #</t>
        </is>
      </c>
      <c r="B1" s="15" t="inlineStr">
        <is>
          <t>DOI</t>
        </is>
      </c>
      <c r="C1" s="15" t="inlineStr">
        <is>
          <t>Title</t>
        </is>
      </c>
      <c r="D1" s="15" t="inlineStr">
        <is>
          <t>Fiscal Year</t>
        </is>
      </c>
      <c r="E1" s="15" t="inlineStr">
        <is>
          <t>Status at Report</t>
        </is>
      </c>
      <c r="F1" s="15" t="inlineStr">
        <is>
          <t>Notes</t>
        </is>
      </c>
      <c r="G1" s="15" t="inlineStr">
        <is>
          <t>Source File</t>
        </is>
      </c>
      <c r="H1" s="15" t="inlineStr">
        <is>
          <t>Source Location</t>
        </is>
      </c>
    </row>
    <row r="2">
      <c r="A2" s="8" t="n">
        <v>7</v>
      </c>
      <c r="B2" s="8" t="inlineStr">
        <is>
          <t>10.5194/nhess-25-3619-2025</t>
        </is>
      </c>
      <c r="C2" s="8" t="inlineStr">
        <is>
          <t>Disentangling atmospheric, hydrological, and coupling uncertainties in compound flood modeling within a coupled Earth system model</t>
        </is>
      </c>
      <c r="D2" s="8" t="inlineStr">
        <is>
          <t>FY24</t>
        </is>
      </c>
      <c r="E2" s="8" t="inlineStr">
        <is>
          <t>Submitted / In review</t>
        </is>
      </c>
      <c r="F2" s="8" t="inlineStr">
        <is>
          <t>ICoM 2024 Annual Report; Appendix A, PDF pp. 39–44.</t>
        </is>
      </c>
      <c r="G2" s="8" t="inlineStr">
        <is>
          <t>ICoM 2024 Annual Report.pdf</t>
        </is>
      </c>
      <c r="H2" s="8" t="inlineStr">
        <is>
          <t>Appendix A, PDF pp. 39–44</t>
        </is>
      </c>
    </row>
    <row r="3">
      <c r="A3" s="8" t="n">
        <v>11</v>
      </c>
      <c r="B3" s="8" t="inlineStr">
        <is>
          <t>10.1029/2025ef006915</t>
        </is>
      </c>
      <c r="C3" s="8" t="inlineStr">
        <is>
          <t>Mapping Philadelphia-s Floodscape: A 35-Year Analysis of Coastal Urban Flood Drivers</t>
        </is>
      </c>
      <c r="D3" s="8" t="inlineStr">
        <is>
          <t>FY24</t>
        </is>
      </c>
      <c r="E3" s="8" t="inlineStr">
        <is>
          <t>Submitted / In review</t>
        </is>
      </c>
      <c r="F3" s="8" t="inlineStr">
        <is>
          <t>ICoM 2024 Annual Report; Appendix A, PDF pp. 39–44.</t>
        </is>
      </c>
      <c r="G3" s="8" t="inlineStr">
        <is>
          <t>ICoM 2024 Annual Report.pdf</t>
        </is>
      </c>
      <c r="H3" s="8" t="inlineStr">
        <is>
          <t>Appendix A, PDF pp. 39–44</t>
        </is>
      </c>
    </row>
    <row r="4">
      <c r="A4" s="8" t="n">
        <v>14</v>
      </c>
      <c r="B4" s="8" t="inlineStr">
        <is>
          <t>10.1029/2025ef007162</t>
        </is>
      </c>
      <c r="C4" s="8" t="inlineStr">
        <is>
          <t>Recent Tropical Cyclone Outer Size Increases in the Western North Atlantic</t>
        </is>
      </c>
      <c r="D4" s="8" t="inlineStr">
        <is>
          <t>FY24</t>
        </is>
      </c>
      <c r="E4" s="8" t="inlineStr">
        <is>
          <t>Submitted / In review</t>
        </is>
      </c>
      <c r="F4" s="8" t="inlineStr">
        <is>
          <t>ICoM 2024 Annual Report; Appendix A, PDF pp. 39–44.</t>
        </is>
      </c>
      <c r="G4" s="8" t="inlineStr">
        <is>
          <t>ICoM 2024 Annual Report.pdf</t>
        </is>
      </c>
      <c r="H4" s="8" t="inlineStr">
        <is>
          <t>Appendix A, PDF pp. 39–44</t>
        </is>
      </c>
    </row>
    <row r="5">
      <c r="A5" s="8" t="n">
        <v>18</v>
      </c>
      <c r="B5" s="8" t="inlineStr">
        <is>
          <t>10.1029/2025ef006883</t>
        </is>
      </c>
      <c r="C5" s="8" t="inlineStr">
        <is>
          <t>A Greening Future Elevates Flash Drought Risk in Northern Mid-to-High Latitudes</t>
        </is>
      </c>
      <c r="D5" s="8" t="inlineStr">
        <is>
          <t>FY23</t>
        </is>
      </c>
      <c r="E5" s="8" t="inlineStr">
        <is>
          <t>Submitted / In review</t>
        </is>
      </c>
      <c r="F5" s="8" t="inlineStr">
        <is>
          <t>ICoM 2023 Annual Report; Appendix A, PDF pp. 36–41.</t>
        </is>
      </c>
      <c r="G5" s="8" t="inlineStr">
        <is>
          <t>PNNL_ICoM_2023_Annual_Report_Final.pdf</t>
        </is>
      </c>
      <c r="H5" s="8" t="inlineStr">
        <is>
          <t>Appendix A, PDF pp. 36–41</t>
        </is>
      </c>
    </row>
    <row r="6">
      <c r="A6" s="8" t="n">
        <v>18</v>
      </c>
      <c r="B6" s="8" t="inlineStr">
        <is>
          <t>10.1029/2025ef006883</t>
        </is>
      </c>
      <c r="C6" s="8" t="inlineStr">
        <is>
          <t>A Greening Future Elevates Flash Drought Risk in Northern Mid-to-High Latitudes</t>
        </is>
      </c>
      <c r="D6" s="8" t="inlineStr">
        <is>
          <t>FY24</t>
        </is>
      </c>
      <c r="E6" s="8" t="inlineStr">
        <is>
          <t>Submitted / In review</t>
        </is>
      </c>
      <c r="F6" s="8" t="inlineStr">
        <is>
          <t>ICoM 2024 Annual Report; Appendix A, PDF pp. 39–44.</t>
        </is>
      </c>
      <c r="G6" s="8" t="inlineStr">
        <is>
          <t>ICoM 2024 Annual Report.pdf</t>
        </is>
      </c>
      <c r="H6" s="8" t="inlineStr">
        <is>
          <t>Appendix A, PDF pp. 39–44</t>
        </is>
      </c>
    </row>
    <row r="7">
      <c r="A7" s="8" t="n">
        <v>19</v>
      </c>
      <c r="B7" s="8" t="inlineStr">
        <is>
          <t>10.1029/2024wr037268</t>
        </is>
      </c>
      <c r="C7" s="8" t="inlineStr">
        <is>
          <t>A scale-adaptive urban hydrologic framework: Incorporating network-level storm drainage pipes representation</t>
        </is>
      </c>
      <c r="D7" s="8" t="inlineStr">
        <is>
          <t>FY24</t>
        </is>
      </c>
      <c r="E7" s="8" t="inlineStr">
        <is>
          <t>Accepted / In press</t>
        </is>
      </c>
      <c r="F7" s="8" t="inlineStr">
        <is>
          <t>ICoM 2024 Annual Report; Appendix A, PDF pp. 39–44.</t>
        </is>
      </c>
      <c r="G7" s="8" t="inlineStr">
        <is>
          <t>ICoM 2024 Annual Report.pdf</t>
        </is>
      </c>
      <c r="H7" s="8" t="inlineStr">
        <is>
          <t>Appendix A, PDF pp. 39–44</t>
        </is>
      </c>
    </row>
    <row r="8">
      <c r="A8" s="8" t="n">
        <v>20</v>
      </c>
      <c r="B8" s="8" t="inlineStr">
        <is>
          <t>10.5194/hess-29-3833-2025</t>
        </is>
      </c>
      <c r="C8" s="8" t="inlineStr">
        <is>
          <t>An efficient hybrid downscaling framework to estimate high-resolution river hydrodynamics</t>
        </is>
      </c>
      <c r="D8" s="8" t="inlineStr">
        <is>
          <t>FY24</t>
        </is>
      </c>
      <c r="E8" s="8" t="inlineStr">
        <is>
          <t>Submitted / In review</t>
        </is>
      </c>
      <c r="F8" s="8" t="inlineStr">
        <is>
          <t>ICoM 2024 Annual Report; Appendix A, PDF pp. 39–44.</t>
        </is>
      </c>
      <c r="G8" s="8" t="inlineStr">
        <is>
          <t>ICoM 2024 Annual Report.pdf</t>
        </is>
      </c>
      <c r="H8" s="8" t="inlineStr">
        <is>
          <t>Appendix A, PDF pp. 39–44</t>
        </is>
      </c>
    </row>
    <row r="9">
      <c r="A9" s="8" t="n">
        <v>21</v>
      </c>
      <c r="B9" s="8" t="inlineStr">
        <is>
          <t>10.1038/s41561-024-01613-z</t>
        </is>
      </c>
      <c r="C9" s="8" t="inlineStr">
        <is>
          <t>Daytime urban heat stress in North America reduced by irrigation</t>
        </is>
      </c>
      <c r="D9" s="8" t="inlineStr">
        <is>
          <t>FY24</t>
        </is>
      </c>
      <c r="E9" s="8" t="inlineStr">
        <is>
          <t>Accepted / In press</t>
        </is>
      </c>
      <c r="F9" s="8" t="inlineStr">
        <is>
          <t>ICoM 2024 Annual Report; Appendix A, PDF pp. 39–44.</t>
        </is>
      </c>
      <c r="G9" s="8" t="inlineStr">
        <is>
          <t>ICoM 2024 Annual Report.pdf</t>
        </is>
      </c>
      <c r="H9" s="8" t="inlineStr">
        <is>
          <t>Appendix A, PDF pp. 39–44</t>
        </is>
      </c>
    </row>
    <row r="10">
      <c r="A10" s="8" t="n">
        <v>23</v>
      </c>
      <c r="B10" s="8" t="inlineStr">
        <is>
          <t>10.1038/s43247-025-02243-y</t>
        </is>
      </c>
      <c r="C10" s="8" t="inlineStr">
        <is>
          <t>Enhanced flood synchrony and downstream severity in the Delaware River under rising temperatures</t>
        </is>
      </c>
      <c r="D10" s="8" t="inlineStr">
        <is>
          <t>FY24</t>
        </is>
      </c>
      <c r="E10" s="8" t="inlineStr">
        <is>
          <t>Submitted / In review</t>
        </is>
      </c>
      <c r="F10" s="8" t="inlineStr">
        <is>
          <t>ICoM 2024 Annual Report; Appendix A, PDF pp. 39–44.</t>
        </is>
      </c>
      <c r="G10" s="8" t="inlineStr">
        <is>
          <t>ICoM 2024 Annual Report.pdf</t>
        </is>
      </c>
      <c r="H10" s="8" t="inlineStr">
        <is>
          <t>Appendix A, PDF pp. 39–44</t>
        </is>
      </c>
    </row>
    <row r="11">
      <c r="A11" s="8" t="n">
        <v>24</v>
      </c>
      <c r="B11" s="8" t="inlineStr">
        <is>
          <t>10.1038/s41597-025-05566-9</t>
        </is>
      </c>
      <c r="C11" s="8" t="inlineStr">
        <is>
          <t>Estimating extreme flood return levels in a U.S. mid-Atlantic estuary using continuous 40-year fluvial-coastal model simulations</t>
        </is>
      </c>
      <c r="D11" s="8" t="inlineStr">
        <is>
          <t>FY24</t>
        </is>
      </c>
      <c r="E11" s="8" t="inlineStr">
        <is>
          <t>Submitted / In review</t>
        </is>
      </c>
      <c r="F11" s="8" t="inlineStr">
        <is>
          <t>ICoM 2024 Annual Report; Appendix A, PDF pp. 39–44.</t>
        </is>
      </c>
      <c r="G11" s="8" t="inlineStr">
        <is>
          <t>ICoM 2024 Annual Report.pdf</t>
        </is>
      </c>
      <c r="H11" s="8" t="inlineStr">
        <is>
          <t>Appendix A, PDF pp. 39–44</t>
        </is>
      </c>
    </row>
    <row r="12">
      <c r="A12" s="8" t="n">
        <v>25</v>
      </c>
      <c r="B12" s="8" t="inlineStr">
        <is>
          <t>10.1029/2024ms004737</t>
        </is>
      </c>
      <c r="C12" s="8" t="inlineStr">
        <is>
          <t>Evaluation of Flow Routing on the Unstructured Voronoi Meshes in Earth System Modeling</t>
        </is>
      </c>
      <c r="D12" s="8" t="inlineStr">
        <is>
          <t>FY24</t>
        </is>
      </c>
      <c r="E12" s="8" t="inlineStr">
        <is>
          <t>Submitted / In review</t>
        </is>
      </c>
      <c r="F12" s="8" t="inlineStr">
        <is>
          <t>ICoM 2024 Annual Report; Appendix A, PDF pp. 39–44.</t>
        </is>
      </c>
      <c r="G12" s="8" t="inlineStr">
        <is>
          <t>ICoM 2024 Annual Report.pdf</t>
        </is>
      </c>
      <c r="H12" s="8" t="inlineStr">
        <is>
          <t>Appendix A, PDF pp. 39–44</t>
        </is>
      </c>
    </row>
    <row r="13">
      <c r="A13" s="8" t="n">
        <v>26</v>
      </c>
      <c r="B13" s="8" t="inlineStr">
        <is>
          <t>10.1016/j.mlwa.2025.100707</t>
        </is>
      </c>
      <c r="C13" s="8" t="inlineStr">
        <is>
          <t>Explaining drivers of housing prices with nonlinear hedonic regressions</t>
        </is>
      </c>
      <c r="D13" s="8" t="inlineStr">
        <is>
          <t>FY23</t>
        </is>
      </c>
      <c r="E13" s="8" t="inlineStr">
        <is>
          <t>Submitted / In review</t>
        </is>
      </c>
      <c r="F13" s="8" t="inlineStr">
        <is>
          <t>ICoM 2023 Annual Report; Appendix A, PDF pp. 36–41.</t>
        </is>
      </c>
      <c r="G13" s="8" t="inlineStr">
        <is>
          <t>PNNL_ICoM_2023_Annual_Report_Final.pdf</t>
        </is>
      </c>
      <c r="H13" s="8" t="inlineStr">
        <is>
          <t>Appendix A, PDF pp. 36–41</t>
        </is>
      </c>
    </row>
    <row r="14">
      <c r="A14" s="8" t="n">
        <v>26</v>
      </c>
      <c r="B14" s="8" t="inlineStr">
        <is>
          <t>10.1016/j.mlwa.2025.100707</t>
        </is>
      </c>
      <c r="C14" s="8" t="inlineStr">
        <is>
          <t>Explaining drivers of housing prices with nonlinear hedonic regressions</t>
        </is>
      </c>
      <c r="D14" s="8" t="inlineStr">
        <is>
          <t>FY24</t>
        </is>
      </c>
      <c r="E14" s="8" t="inlineStr">
        <is>
          <t>Submitted / In review</t>
        </is>
      </c>
      <c r="F14" s="8" t="inlineStr">
        <is>
          <t>ICoM 2024 Annual Report; Appendix A, PDF pp. 39–44.</t>
        </is>
      </c>
      <c r="G14" s="8" t="inlineStr">
        <is>
          <t>ICoM 2024 Annual Report.pdf</t>
        </is>
      </c>
      <c r="H14" s="8" t="inlineStr">
        <is>
          <t>Appendix A, PDF pp. 39–44</t>
        </is>
      </c>
    </row>
    <row r="15">
      <c r="A15" s="8" t="n">
        <v>28</v>
      </c>
      <c r="B15" s="8" t="inlineStr">
        <is>
          <t>10.1038/s41612-025-01029-5</t>
        </is>
      </c>
      <c r="C15" s="8" t="inlineStr">
        <is>
          <t>Faster recovery of North Atlantic tropical cyclone-induced cold wakes in recent decades</t>
        </is>
      </c>
      <c r="D15" s="8" t="inlineStr">
        <is>
          <t>FY24</t>
        </is>
      </c>
      <c r="E15" s="8" t="inlineStr">
        <is>
          <t>Submitted / In review</t>
        </is>
      </c>
      <c r="F15" s="8" t="inlineStr">
        <is>
          <t>ICoM 2024 Annual Report; Appendix A, PDF pp. 39–44.</t>
        </is>
      </c>
      <c r="G15" s="8" t="inlineStr">
        <is>
          <t>ICoM 2024 Annual Report.pdf</t>
        </is>
      </c>
      <c r="H15" s="8" t="inlineStr">
        <is>
          <t>Appendix A, PDF pp. 39–44</t>
        </is>
      </c>
    </row>
    <row r="16">
      <c r="A16" s="8" t="n">
        <v>29</v>
      </c>
      <c r="B16" s="8" t="inlineStr">
        <is>
          <t>10.1038/s41597-025-06186-z</t>
        </is>
      </c>
      <c r="C16" s="8" t="inlineStr">
        <is>
          <t>Future North Atlantic tropical cyclone intensities in modified historical environments</t>
        </is>
      </c>
      <c r="D16" s="8" t="inlineStr">
        <is>
          <t>FY24</t>
        </is>
      </c>
      <c r="E16" s="8" t="inlineStr">
        <is>
          <t>Submitted / In review</t>
        </is>
      </c>
      <c r="F16" s="8" t="inlineStr">
        <is>
          <t>ICoM 2024 Annual Report; Appendix A, PDF pp. 39–44.</t>
        </is>
      </c>
      <c r="G16" s="8" t="inlineStr">
        <is>
          <t>ICoM 2024 Annual Report.pdf</t>
        </is>
      </c>
      <c r="H16" s="8" t="inlineStr">
        <is>
          <t>Appendix A, PDF pp. 39–44</t>
        </is>
      </c>
    </row>
    <row r="17">
      <c r="A17" s="8" t="n">
        <v>30</v>
      </c>
      <c r="B17" s="8" t="inlineStr">
        <is>
          <t>10.5194/gmd-18-1307-2025</t>
        </is>
      </c>
      <c r="C17" s="8" t="inlineStr">
        <is>
          <t>High-Resolution Model Intercomparison Project phase 2 (HighResMIP2) towards CMIP7</t>
        </is>
      </c>
      <c r="D17" s="8" t="inlineStr">
        <is>
          <t>FY24</t>
        </is>
      </c>
      <c r="E17" s="8" t="inlineStr">
        <is>
          <t>Submitted / In review</t>
        </is>
      </c>
      <c r="F17" s="8" t="inlineStr">
        <is>
          <t>ICoM 2024 Annual Report; Appendix A, PDF pp. 39–44.</t>
        </is>
      </c>
      <c r="G17" s="8" t="inlineStr">
        <is>
          <t>ICoM 2024 Annual Report.pdf</t>
        </is>
      </c>
      <c r="H17" s="8" t="inlineStr">
        <is>
          <t>Appendix A, PDF pp. 39–44</t>
        </is>
      </c>
    </row>
    <row r="18">
      <c r="A18" s="8" t="n">
        <v>31</v>
      </c>
      <c r="B18" s="8" t="inlineStr">
        <is>
          <t>10.1016/j.ecoinf.2025.102994</t>
        </is>
      </c>
      <c r="C18" s="8" t="inlineStr">
        <is>
          <t>HydroEcoLSTM: A Python package with graphical user interface for hydro-ecological modeling with long short-term memory neural network</t>
        </is>
      </c>
      <c r="D18" s="8" t="inlineStr">
        <is>
          <t>FY24</t>
        </is>
      </c>
      <c r="E18" s="8" t="inlineStr">
        <is>
          <t>Accepted / In press</t>
        </is>
      </c>
      <c r="F18" s="8" t="inlineStr">
        <is>
          <t>ICoM 2024 Annual Report; Appendix A, PDF pp. 39–44.</t>
        </is>
      </c>
      <c r="G18" s="8" t="inlineStr">
        <is>
          <t>ICoM 2024 Annual Report.pdf</t>
        </is>
      </c>
      <c r="H18" s="8" t="inlineStr">
        <is>
          <t>Appendix A, PDF pp. 39–44</t>
        </is>
      </c>
    </row>
    <row r="19">
      <c r="A19" s="8" t="n">
        <v>32</v>
      </c>
      <c r="B19" s="8" t="inlineStr">
        <is>
          <t>10.1016/j.jhydrol.2025.133750</t>
        </is>
      </c>
      <c r="C19" s="8" t="inlineStr">
        <is>
          <t>Improving the prediction of daily reservoir releases over the CONUS using conditioned LSTM</t>
        </is>
      </c>
      <c r="D19" s="8" t="inlineStr">
        <is>
          <t>FY24</t>
        </is>
      </c>
      <c r="E19" s="8" t="inlineStr">
        <is>
          <t>Submitted / In review</t>
        </is>
      </c>
      <c r="F19" s="8" t="inlineStr">
        <is>
          <t>ICoM 2024 Annual Report; Appendix A, PDF pp. 39–44.</t>
        </is>
      </c>
      <c r="G19" s="8" t="inlineStr">
        <is>
          <t>ICoM 2024 Annual Report.pdf</t>
        </is>
      </c>
      <c r="H19" s="8" t="inlineStr">
        <is>
          <t>Appendix A, PDF pp. 39–44</t>
        </is>
      </c>
    </row>
    <row r="20">
      <c r="A20" s="8" t="n">
        <v>33</v>
      </c>
      <c r="B20" s="8" t="inlineStr">
        <is>
          <t>10.1111/gcb.70064</t>
        </is>
      </c>
      <c r="C20" s="8" t="inlineStr">
        <is>
          <t>Interactions Between Climate Mean and Variability Drive Future Agroecosystem Vulnerability</t>
        </is>
      </c>
      <c r="D20" s="8" t="inlineStr">
        <is>
          <t>FY24</t>
        </is>
      </c>
      <c r="E20" s="8" t="inlineStr">
        <is>
          <t>Accepted / In press</t>
        </is>
      </c>
      <c r="F20" s="8" t="inlineStr">
        <is>
          <t>ICoM 2024 Annual Report; Appendix A, PDF pp. 39–44.</t>
        </is>
      </c>
      <c r="G20" s="8" t="inlineStr">
        <is>
          <t>ICoM 2024 Annual Report.pdf</t>
        </is>
      </c>
      <c r="H20" s="8" t="inlineStr">
        <is>
          <t>Appendix A, PDF pp. 39–44</t>
        </is>
      </c>
    </row>
    <row r="21">
      <c r="A21" s="8" t="n">
        <v>35</v>
      </c>
      <c r="B21" s="8" t="inlineStr">
        <is>
          <t>10.2166/hydro.2025.005</t>
        </is>
      </c>
      <c r="C21" s="8" t="inlineStr">
        <is>
          <t>Nonlinear behavior of urban flood peaks in the U.S. Mid-Atlantic region</t>
        </is>
      </c>
      <c r="D21" s="8" t="inlineStr">
        <is>
          <t>FY24</t>
        </is>
      </c>
      <c r="E21" s="8" t="inlineStr">
        <is>
          <t>Submitted / In review</t>
        </is>
      </c>
      <c r="F21" s="8" t="inlineStr">
        <is>
          <t>ICoM 2024 Annual Report; Appendix A, PDF pp. 39–44.</t>
        </is>
      </c>
      <c r="G21" s="8" t="inlineStr">
        <is>
          <t>ICoM 2024 Annual Report.pdf</t>
        </is>
      </c>
      <c r="H21" s="8" t="inlineStr">
        <is>
          <t>Appendix A, PDF pp. 39–44</t>
        </is>
      </c>
    </row>
    <row r="22">
      <c r="A22" s="8" t="n">
        <v>36</v>
      </c>
      <c r="B22" s="8" t="inlineStr">
        <is>
          <t>10.1088/1748-9326/adad85</t>
        </is>
      </c>
      <c r="C22" s="8" t="inlineStr">
        <is>
          <t>Projected increases in tropical cyclone-induced U.S. electric power outage risk</t>
        </is>
      </c>
      <c r="D22" s="8" t="inlineStr">
        <is>
          <t>FY24</t>
        </is>
      </c>
      <c r="E22" s="8" t="inlineStr">
        <is>
          <t>Accepted / In press</t>
        </is>
      </c>
      <c r="F22" s="8" t="inlineStr">
        <is>
          <t>ICoM 2024 Annual Report; Appendix A, PDF pp. 39–44.</t>
        </is>
      </c>
      <c r="G22" s="8" t="inlineStr">
        <is>
          <t>ICoM 2024 Annual Report.pdf</t>
        </is>
      </c>
      <c r="H22" s="8" t="inlineStr">
        <is>
          <t>Appendix A, PDF pp. 39–44</t>
        </is>
      </c>
    </row>
    <row r="23">
      <c r="A23" s="8" t="n">
        <v>37</v>
      </c>
      <c r="B23" s="8" t="inlineStr">
        <is>
          <t>10.1016/b978-0-323-95390-0.00011-x</t>
        </is>
      </c>
      <c r="C23" s="8" t="inlineStr">
        <is>
          <t>Projecting global and regional changes in tropical cyclones and their potential impacts</t>
        </is>
      </c>
      <c r="D23" s="8" t="inlineStr">
        <is>
          <t>FY24</t>
        </is>
      </c>
      <c r="E23" s="8" t="inlineStr">
        <is>
          <t>Accepted / In press</t>
        </is>
      </c>
      <c r="F23" s="8" t="inlineStr">
        <is>
          <t>ICoM 2024 Annual Report; Appendix A, PDF pp. 39–44.</t>
        </is>
      </c>
      <c r="G23" s="8" t="inlineStr">
        <is>
          <t>ICoM 2024 Annual Report.pdf</t>
        </is>
      </c>
      <c r="H23" s="8" t="inlineStr">
        <is>
          <t>Appendix A, PDF pp. 39–44</t>
        </is>
      </c>
    </row>
    <row r="24">
      <c r="A24" s="8" t="n">
        <v>39</v>
      </c>
      <c r="B24" s="8" t="inlineStr">
        <is>
          <t>10.1038/s41558-025-02457-0</t>
        </is>
      </c>
      <c r="C24" s="8" t="inlineStr">
        <is>
          <t>The interplay of future emissions and geophysical uncertainties for projections of sea-level rise</t>
        </is>
      </c>
      <c r="D24" s="8" t="inlineStr">
        <is>
          <t>FY24</t>
        </is>
      </c>
      <c r="E24" s="8" t="inlineStr">
        <is>
          <t>Submitted / In review</t>
        </is>
      </c>
      <c r="F24" s="8" t="inlineStr">
        <is>
          <t>ICoM 2024 Annual Report; Appendix A, PDF pp. 39–44.</t>
        </is>
      </c>
      <c r="G24" s="8" t="inlineStr">
        <is>
          <t>ICoM 2024 Annual Report.pdf</t>
        </is>
      </c>
      <c r="H24" s="8" t="inlineStr">
        <is>
          <t>Appendix A, PDF pp. 39–44</t>
        </is>
      </c>
    </row>
    <row r="25">
      <c r="A25" s="8" t="n">
        <v>40</v>
      </c>
      <c r="B25" s="8" t="inlineStr">
        <is>
          <t>10.5194/essd-17-2147-2025</t>
        </is>
      </c>
      <c r="C25" s="8" t="inlineStr">
        <is>
          <t>U-Surf: a global 1 km spatially continuous urban surface property dataset for kilometer-scale urban-resolving Earth system modeling</t>
        </is>
      </c>
      <c r="D25" s="8" t="inlineStr">
        <is>
          <t>FY24</t>
        </is>
      </c>
      <c r="E25" s="8" t="inlineStr">
        <is>
          <t>Accepted / In press</t>
        </is>
      </c>
      <c r="F25" s="8" t="inlineStr">
        <is>
          <t>ICoM 2024 Annual Report; Appendix A, PDF pp. 39–44.</t>
        </is>
      </c>
      <c r="G25" s="8" t="inlineStr">
        <is>
          <t>ICoM 2024 Annual Report.pdf</t>
        </is>
      </c>
      <c r="H25" s="8" t="inlineStr">
        <is>
          <t>Appendix A, PDF pp. 39–44</t>
        </is>
      </c>
    </row>
    <row r="26">
      <c r="A26" s="8" t="n">
        <v>41</v>
      </c>
      <c r="B26" s="8" t="inlineStr">
        <is>
          <t>10.1111/jfr3.70131</t>
        </is>
      </c>
      <c r="C26" s="8" t="inlineStr">
        <is>
          <t>Uncertainty in Household Behavior Drives Large Variation in the Size of the Levee Effect</t>
        </is>
      </c>
      <c r="D26" s="8" t="inlineStr">
        <is>
          <t>FY24</t>
        </is>
      </c>
      <c r="E26" s="8" t="inlineStr">
        <is>
          <t>Submitted / In review</t>
        </is>
      </c>
      <c r="F26" s="8" t="inlineStr">
        <is>
          <t>ICoM 2024 Annual Report; Appendix A, PDF pp. 39–44.</t>
        </is>
      </c>
      <c r="G26" s="8" t="inlineStr">
        <is>
          <t>ICoM 2024 Annual Report.pdf</t>
        </is>
      </c>
      <c r="H26" s="8" t="inlineStr">
        <is>
          <t>Appendix A, PDF pp. 39–44</t>
        </is>
      </c>
    </row>
    <row r="27">
      <c r="A27" s="8" t="n">
        <v>43</v>
      </c>
      <c r="B27" s="8" t="inlineStr">
        <is>
          <t>10.21105/joss.07527</t>
        </is>
      </c>
      <c r="C27" s="8" t="inlineStr">
        <is>
          <t>UNSAFE: An UNcertain Structure And Fragility Ensemble framework for property-level flood risk estimation</t>
        </is>
      </c>
      <c r="D27" s="8" t="inlineStr">
        <is>
          <t>FY24</t>
        </is>
      </c>
      <c r="E27" s="8" t="inlineStr">
        <is>
          <t>Submitted / In review</t>
        </is>
      </c>
      <c r="F27" s="8" t="inlineStr">
        <is>
          <t>ICoM 2024 Annual Report; Appendix A, PDF pp. 39–44.</t>
        </is>
      </c>
      <c r="G27" s="8" t="inlineStr">
        <is>
          <t>ICoM 2024 Annual Report.pdf</t>
        </is>
      </c>
      <c r="H27" s="8" t="inlineStr">
        <is>
          <t>Appendix A, PDF pp. 39–44</t>
        </is>
      </c>
    </row>
    <row r="28">
      <c r="A28" s="8" t="n">
        <v>45</v>
      </c>
      <c r="B28" s="8" t="inlineStr">
        <is>
          <t>10.1029/2023ef004230</t>
        </is>
      </c>
      <c r="C28" s="8" t="inlineStr">
        <is>
          <t>A global increase in nearshore tropical cyclone intensification</t>
        </is>
      </c>
      <c r="D28" s="8" t="inlineStr">
        <is>
          <t>FY23</t>
        </is>
      </c>
      <c r="E28" s="8" t="inlineStr">
        <is>
          <t>Submitted / In review</t>
        </is>
      </c>
      <c r="F28" s="8" t="inlineStr">
        <is>
          <t>ICoM 2023 Annual Report; Appendix A, PDF pp. 36–41.</t>
        </is>
      </c>
      <c r="G28" s="8" t="inlineStr">
        <is>
          <t>PNNL_ICoM_2023_Annual_Report_Final.pdf</t>
        </is>
      </c>
      <c r="H28" s="8" t="inlineStr">
        <is>
          <t>Appendix A, PDF pp. 36–41</t>
        </is>
      </c>
    </row>
    <row r="29">
      <c r="A29" s="8" t="n">
        <v>45</v>
      </c>
      <c r="B29" s="8" t="inlineStr">
        <is>
          <t>10.1029/2023ef004230</t>
        </is>
      </c>
      <c r="C29" s="8" t="inlineStr">
        <is>
          <t>A global increase in nearshore tropical cyclone intensification</t>
        </is>
      </c>
      <c r="D29" s="8" t="inlineStr">
        <is>
          <t>FY24</t>
        </is>
      </c>
      <c r="E29" s="8" t="inlineStr">
        <is>
          <t>Published / Indexed</t>
        </is>
      </c>
      <c r="F29" s="8" t="inlineStr">
        <is>
          <t>ICoM 2024 Annual Report; Appendix A, PDF pp. 39–44.</t>
        </is>
      </c>
      <c r="G29" s="8" t="inlineStr">
        <is>
          <t>ICoM 2024 Annual Report.pdf</t>
        </is>
      </c>
      <c r="H29" s="8" t="inlineStr">
        <is>
          <t>Appendix A, PDF pp. 39–44</t>
        </is>
      </c>
    </row>
    <row r="30">
      <c r="A30" s="8" t="n">
        <v>46</v>
      </c>
      <c r="B30" s="8" t="inlineStr">
        <is>
          <t>10.3389/feart.2024.1421265</t>
        </is>
      </c>
      <c r="C30" s="8" t="inlineStr">
        <is>
          <t>A multiple-algorithm approach for modeling coastal wetland eco-geomorphology</t>
        </is>
      </c>
      <c r="D30" s="8" t="inlineStr">
        <is>
          <t>FY21</t>
        </is>
      </c>
      <c r="E30" s="8" t="inlineStr">
        <is>
          <t>Submitted / In review</t>
        </is>
      </c>
      <c r="F30" s="8" t="inlineStr">
        <is>
          <t>ICoM 2021 Annual Report; Appendix A, PDF pp. 35–36.</t>
        </is>
      </c>
      <c r="G30" s="8" t="inlineStr">
        <is>
          <t>ICoM_2021_Annual_Report_FINAL.pdf</t>
        </is>
      </c>
      <c r="H30" s="8" t="inlineStr">
        <is>
          <t>Appendix A, PDF pp. 35–36</t>
        </is>
      </c>
    </row>
    <row r="31">
      <c r="A31" s="8" t="n">
        <v>46</v>
      </c>
      <c r="B31" s="8" t="inlineStr">
        <is>
          <t>10.3389/feart.2024.1421265</t>
        </is>
      </c>
      <c r="C31" s="8" t="inlineStr">
        <is>
          <t>A multiple-algorithm approach for modeling coastal wetland eco-geomorphology</t>
        </is>
      </c>
      <c r="D31" s="8" t="inlineStr">
        <is>
          <t>FY22</t>
        </is>
      </c>
      <c r="E31" s="8" t="inlineStr">
        <is>
          <t>Submitted / In review</t>
        </is>
      </c>
      <c r="F31" s="8" t="inlineStr">
        <is>
          <t>ICoM 2022 Annual Report; Appendix A, PDF pp. 35–38.</t>
        </is>
      </c>
      <c r="G31" s="8" t="inlineStr">
        <is>
          <t>PNNL_ICoM_2022_Annual_Report.pdf</t>
        </is>
      </c>
      <c r="H31" s="8" t="inlineStr">
        <is>
          <t>Appendix A, PDF pp. 35–38</t>
        </is>
      </c>
    </row>
    <row r="32">
      <c r="A32" s="8" t="n">
        <v>46</v>
      </c>
      <c r="B32" s="8" t="inlineStr">
        <is>
          <t>10.3389/feart.2024.1421265</t>
        </is>
      </c>
      <c r="C32" s="8" t="inlineStr">
        <is>
          <t>A multiple-algorithm approach for modeling coastal wetland eco-geomorphology</t>
        </is>
      </c>
      <c r="D32" s="8" t="inlineStr">
        <is>
          <t>FY23</t>
        </is>
      </c>
      <c r="E32" s="8" t="inlineStr">
        <is>
          <t>Submitted / In review</t>
        </is>
      </c>
      <c r="F32" s="8" t="inlineStr">
        <is>
          <t>ICoM 2023 Annual Report; Appendix A, PDF pp. 36–41.</t>
        </is>
      </c>
      <c r="G32" s="8" t="inlineStr">
        <is>
          <t>PNNL_ICoM_2023_Annual_Report_Final.pdf</t>
        </is>
      </c>
      <c r="H32" s="8" t="inlineStr">
        <is>
          <t>Appendix A, PDF pp. 36–41</t>
        </is>
      </c>
    </row>
    <row r="33">
      <c r="A33" s="8" t="n">
        <v>46</v>
      </c>
      <c r="B33" s="8" t="inlineStr">
        <is>
          <t>10.3389/feart.2024.1421265</t>
        </is>
      </c>
      <c r="C33" s="8" t="inlineStr">
        <is>
          <t>A multiple-algorithm approach for modeling coastal wetland eco-geomorphology</t>
        </is>
      </c>
      <c r="D33" s="8" t="inlineStr">
        <is>
          <t>FY24</t>
        </is>
      </c>
      <c r="E33" s="8" t="inlineStr">
        <is>
          <t>Published / Indexed</t>
        </is>
      </c>
      <c r="F33" s="8" t="inlineStr">
        <is>
          <t>ICoM 2024 Annual Report; Appendix A, PDF pp. 39–44.</t>
        </is>
      </c>
      <c r="G33" s="8" t="inlineStr">
        <is>
          <t>ICoM 2024 Annual Report.pdf</t>
        </is>
      </c>
      <c r="H33" s="8" t="inlineStr">
        <is>
          <t>Appendix A, PDF pp. 39–44</t>
        </is>
      </c>
    </row>
    <row r="34">
      <c r="A34" s="8" t="n">
        <v>47</v>
      </c>
      <c r="B34" s="8" t="inlineStr">
        <is>
          <t>10.1038/s41597-024-02952-7</t>
        </is>
      </c>
      <c r="C34" s="8" t="inlineStr">
        <is>
          <t>A North Atlantic synthetic tropical cyclone track, intensity, and rainfall dataset</t>
        </is>
      </c>
      <c r="D34" s="8" t="inlineStr">
        <is>
          <t>FY23</t>
        </is>
      </c>
      <c r="E34" s="8" t="inlineStr">
        <is>
          <t>Submitted / In review</t>
        </is>
      </c>
      <c r="F34" s="8" t="inlineStr">
        <is>
          <t>ICoM 2023 Annual Report; Appendix A, PDF pp. 36–41.</t>
        </is>
      </c>
      <c r="G34" s="8" t="inlineStr">
        <is>
          <t>PNNL_ICoM_2023_Annual_Report_Final.pdf</t>
        </is>
      </c>
      <c r="H34" s="8" t="inlineStr">
        <is>
          <t>Appendix A, PDF pp. 36–41</t>
        </is>
      </c>
    </row>
    <row r="35">
      <c r="A35" s="8" t="n">
        <v>47</v>
      </c>
      <c r="B35" s="8" t="inlineStr">
        <is>
          <t>10.1038/s41597-024-02952-7</t>
        </is>
      </c>
      <c r="C35" s="8" t="inlineStr">
        <is>
          <t>A North Atlantic synthetic tropical cyclone track, intensity, and rainfall dataset</t>
        </is>
      </c>
      <c r="D35" s="8" t="inlineStr">
        <is>
          <t>FY24</t>
        </is>
      </c>
      <c r="E35" s="8" t="inlineStr">
        <is>
          <t>Published / Indexed</t>
        </is>
      </c>
      <c r="F35" s="8" t="inlineStr">
        <is>
          <t>ICoM 2024 Annual Report; Appendix A, PDF pp. 39–44.</t>
        </is>
      </c>
      <c r="G35" s="8" t="inlineStr">
        <is>
          <t>ICoM 2024 Annual Report.pdf</t>
        </is>
      </c>
      <c r="H35" s="8" t="inlineStr">
        <is>
          <t>Appendix A, PDF pp. 39–44</t>
        </is>
      </c>
    </row>
    <row r="36">
      <c r="A36" s="8" t="n">
        <v>48</v>
      </c>
      <c r="B36" s="8" t="inlineStr">
        <is>
          <t>10.1029/2023ef003868</t>
        </is>
      </c>
      <c r="C36" s="8" t="inlineStr">
        <is>
          <t>Amplified extreme floods and shifting flood mechanisms in the Delaware river basin in future climates</t>
        </is>
      </c>
      <c r="D36" s="8" t="inlineStr">
        <is>
          <t>FY23</t>
        </is>
      </c>
      <c r="E36" s="8" t="inlineStr">
        <is>
          <t>Submitted / In review</t>
        </is>
      </c>
      <c r="F36" s="8" t="inlineStr">
        <is>
          <t>ICoM 2023 Annual Report; Appendix A, PDF pp. 36–41.</t>
        </is>
      </c>
      <c r="G36" s="8" t="inlineStr">
        <is>
          <t>PNNL_ICoM_2023_Annual_Report_Final.pdf</t>
        </is>
      </c>
      <c r="H36" s="8" t="inlineStr">
        <is>
          <t>Appendix A, PDF pp. 36–41</t>
        </is>
      </c>
    </row>
    <row r="37">
      <c r="A37" s="8" t="n">
        <v>48</v>
      </c>
      <c r="B37" s="8" t="inlineStr">
        <is>
          <t>10.1029/2023ef003868</t>
        </is>
      </c>
      <c r="C37" s="8" t="inlineStr">
        <is>
          <t>Amplified extreme floods and shifting flood mechanisms in the Delaware river basin in future climates</t>
        </is>
      </c>
      <c r="D37" s="8" t="inlineStr">
        <is>
          <t>FY24</t>
        </is>
      </c>
      <c r="E37" s="8" t="inlineStr">
        <is>
          <t>Published / Indexed</t>
        </is>
      </c>
      <c r="F37" s="8" t="inlineStr">
        <is>
          <t>ICoM 2024 Annual Report; Appendix A, PDF pp. 39–44.</t>
        </is>
      </c>
      <c r="G37" s="8" t="inlineStr">
        <is>
          <t>ICoM 2024 Annual Report.pdf</t>
        </is>
      </c>
      <c r="H37" s="8" t="inlineStr">
        <is>
          <t>Appendix A, PDF pp. 39–44</t>
        </is>
      </c>
    </row>
    <row r="38">
      <c r="A38" s="8" t="n">
        <v>49</v>
      </c>
      <c r="B38" s="8" t="inlineStr">
        <is>
          <t>10.1038/s43247-024-01887-6</t>
        </is>
      </c>
      <c r="C38" s="8" t="inlineStr">
        <is>
          <t>Amplified Threat Of Tropical Cyclones To Us Offshore Wind Energy In A Changing Climate</t>
        </is>
      </c>
      <c r="D38" s="8" t="inlineStr">
        <is>
          <t>FY24</t>
        </is>
      </c>
      <c r="E38" s="8" t="inlineStr">
        <is>
          <t>Published / Indexed</t>
        </is>
      </c>
      <c r="F38" s="8" t="inlineStr">
        <is>
          <t>ICoM 2024 Annual Report; Appendix A, PDF pp. 39–44.</t>
        </is>
      </c>
      <c r="G38" s="8" t="inlineStr">
        <is>
          <t>ICoM 2024 Annual Report.pdf</t>
        </is>
      </c>
      <c r="H38" s="8" t="inlineStr">
        <is>
          <t>Appendix A, PDF pp. 39–44</t>
        </is>
      </c>
    </row>
    <row r="39">
      <c r="A39" s="8" t="n">
        <v>50</v>
      </c>
      <c r="B39" s="8" t="inlineStr">
        <is>
          <t>10.1038/s41467-024-45286-z</t>
        </is>
      </c>
      <c r="C39" s="8" t="inlineStr">
        <is>
          <t>Climate change will reduce North American inland wetland areas and disrupt their seasonal regimes</t>
        </is>
      </c>
      <c r="D39" s="8" t="inlineStr">
        <is>
          <t>FY23</t>
        </is>
      </c>
      <c r="E39" s="8" t="inlineStr">
        <is>
          <t>Submitted / In review</t>
        </is>
      </c>
      <c r="F39" s="8" t="inlineStr">
        <is>
          <t>ICoM 2023 Annual Report; Appendix A, PDF pp. 36–41.</t>
        </is>
      </c>
      <c r="G39" s="8" t="inlineStr">
        <is>
          <t>PNNL_ICoM_2023_Annual_Report_Final.pdf</t>
        </is>
      </c>
      <c r="H39" s="8" t="inlineStr">
        <is>
          <t>Appendix A, PDF pp. 36–41</t>
        </is>
      </c>
    </row>
    <row r="40">
      <c r="A40" s="8" t="n">
        <v>50</v>
      </c>
      <c r="B40" s="8" t="inlineStr">
        <is>
          <t>10.1038/s41467-024-45286-z</t>
        </is>
      </c>
      <c r="C40" s="8" t="inlineStr">
        <is>
          <t>Climate change will reduce North American inland wetland areas and disrupt their seasonal regimes</t>
        </is>
      </c>
      <c r="D40" s="8" t="inlineStr">
        <is>
          <t>FY24</t>
        </is>
      </c>
      <c r="E40" s="8" t="inlineStr">
        <is>
          <t>Published / Indexed</t>
        </is>
      </c>
      <c r="F40" s="8" t="inlineStr">
        <is>
          <t>ICoM 2024 Annual Report; Appendix A, PDF pp. 39–44.</t>
        </is>
      </c>
      <c r="G40" s="8" t="inlineStr">
        <is>
          <t>ICoM 2024 Annual Report.pdf</t>
        </is>
      </c>
      <c r="H40" s="8" t="inlineStr">
        <is>
          <t>Appendix A, PDF pp. 39–44</t>
        </is>
      </c>
    </row>
    <row r="41">
      <c r="A41" s="8" t="n">
        <v>51</v>
      </c>
      <c r="B41" s="8" t="inlineStr">
        <is>
          <t>10.5194/gmd-17-1197-2024</t>
        </is>
      </c>
      <c r="C41" s="8" t="inlineStr">
        <is>
          <t>Disentangling the hydrological and hydraulic controls on streamflow variability in Energy Exascale Earth System Model (E3SM) V2 - a case study in the Pantanal region</t>
        </is>
      </c>
      <c r="D41" s="8" t="inlineStr">
        <is>
          <t>FY23</t>
        </is>
      </c>
      <c r="E41" s="8" t="inlineStr">
        <is>
          <t>Submitted / In review</t>
        </is>
      </c>
      <c r="F41" s="8" t="inlineStr">
        <is>
          <t>ICoM 2023 Annual Report; Appendix A, PDF pp. 36–41.</t>
        </is>
      </c>
      <c r="G41" s="8" t="inlineStr">
        <is>
          <t>PNNL_ICoM_2023_Annual_Report_Final.pdf</t>
        </is>
      </c>
      <c r="H41" s="8" t="inlineStr">
        <is>
          <t>Appendix A, PDF pp. 36–41</t>
        </is>
      </c>
    </row>
    <row r="42">
      <c r="A42" s="8" t="n">
        <v>51</v>
      </c>
      <c r="B42" s="8" t="inlineStr">
        <is>
          <t>10.5194/gmd-17-1197-2024</t>
        </is>
      </c>
      <c r="C42" s="8" t="inlineStr">
        <is>
          <t>Disentangling the hydrological and hydraulic controls on streamflow variability in Energy Exascale Earth System Model (E3SM) V2 - a case study in the Pantanal region</t>
        </is>
      </c>
      <c r="D42" s="8" t="inlineStr">
        <is>
          <t>FY24</t>
        </is>
      </c>
      <c r="E42" s="8" t="inlineStr">
        <is>
          <t>Published / Indexed</t>
        </is>
      </c>
      <c r="F42" s="8" t="inlineStr">
        <is>
          <t>ICoM 2024 Annual Report; Appendix A, PDF pp. 39–44.</t>
        </is>
      </c>
      <c r="G42" s="8" t="inlineStr">
        <is>
          <t>ICoM 2024 Annual Report.pdf</t>
        </is>
      </c>
      <c r="H42" s="8" t="inlineStr">
        <is>
          <t>Appendix A, PDF pp. 39–44</t>
        </is>
      </c>
    </row>
    <row r="43">
      <c r="A43" s="8" t="n">
        <v>52</v>
      </c>
      <c r="B43" s="8" t="inlineStr">
        <is>
          <t>10.5194/nhess-24-2461-2024</t>
        </is>
      </c>
      <c r="C43" s="8" t="inlineStr">
        <is>
          <t>Estuarine hurricane wind can intensify surge-dominated extreme water level in shallow and converging coastal systems</t>
        </is>
      </c>
      <c r="D43" s="8" t="inlineStr">
        <is>
          <t>FY23</t>
        </is>
      </c>
      <c r="E43" s="8" t="inlineStr">
        <is>
          <t>Submitted / In review</t>
        </is>
      </c>
      <c r="F43" s="8" t="inlineStr">
        <is>
          <t>ICoM 2023 Annual Report; Appendix A, PDF pp. 36–41.</t>
        </is>
      </c>
      <c r="G43" s="8" t="inlineStr">
        <is>
          <t>PNNL_ICoM_2023_Annual_Report_Final.pdf</t>
        </is>
      </c>
      <c r="H43" s="8" t="inlineStr">
        <is>
          <t>Appendix A, PDF pp. 36–41</t>
        </is>
      </c>
    </row>
    <row r="44">
      <c r="A44" s="8" t="n">
        <v>52</v>
      </c>
      <c r="B44" s="8" t="inlineStr">
        <is>
          <t>10.5194/nhess-24-2461-2024</t>
        </is>
      </c>
      <c r="C44" s="8" t="inlineStr">
        <is>
          <t>Estuarine hurricane wind can intensify surge-dominated extreme water level in shallow and converging coastal systems</t>
        </is>
      </c>
      <c r="D44" s="8" t="inlineStr">
        <is>
          <t>FY24</t>
        </is>
      </c>
      <c r="E44" s="8" t="inlineStr">
        <is>
          <t>Published / Indexed</t>
        </is>
      </c>
      <c r="F44" s="8" t="inlineStr">
        <is>
          <t>ICoM 2024 Annual Report; Appendix A, PDF pp. 39–44.</t>
        </is>
      </c>
      <c r="G44" s="8" t="inlineStr">
        <is>
          <t>ICoM 2024 Annual Report.pdf</t>
        </is>
      </c>
      <c r="H44" s="8" t="inlineStr">
        <is>
          <t>Appendix A, PDF pp. 39–44</t>
        </is>
      </c>
    </row>
    <row r="45">
      <c r="A45" s="8" t="n">
        <v>53</v>
      </c>
      <c r="B45" s="8" t="inlineStr">
        <is>
          <t>10.1061/jhyeff.heeng-6163</t>
        </is>
      </c>
      <c r="C45" s="8" t="inlineStr">
        <is>
          <t>Generalized Relationship Linking Water Balance and Vegetation Productivity across Site-to-Regional Scales</t>
        </is>
      </c>
      <c r="D45" s="8" t="inlineStr">
        <is>
          <t>FY24</t>
        </is>
      </c>
      <c r="E45" s="8" t="inlineStr">
        <is>
          <t>Published / Indexed</t>
        </is>
      </c>
      <c r="F45" s="8" t="inlineStr">
        <is>
          <t>ICoM 2024 Annual Report; Appendix A, PDF pp. 39–44.</t>
        </is>
      </c>
      <c r="G45" s="8" t="inlineStr">
        <is>
          <t>ICoM 2024 Annual Report.pdf</t>
        </is>
      </c>
      <c r="H45" s="8" t="inlineStr">
        <is>
          <t>Appendix A, PDF pp. 39–44</t>
        </is>
      </c>
    </row>
    <row r="46">
      <c r="A46" s="8" t="n">
        <v>54</v>
      </c>
      <c r="B46" s="8" t="inlineStr">
        <is>
          <t>10.5194/essd-16-2007-2024</t>
        </is>
      </c>
      <c r="C46" s="8" t="inlineStr">
        <is>
          <t>Global 1-km land surface parameters for kilometer-scale Earth system modeling</t>
        </is>
      </c>
      <c r="D46" s="8" t="inlineStr">
        <is>
          <t>FY23</t>
        </is>
      </c>
      <c r="E46" s="8" t="inlineStr">
        <is>
          <t>Submitted / In review</t>
        </is>
      </c>
      <c r="F46" s="8" t="inlineStr">
        <is>
          <t>ICoM 2023 Annual Report; Appendix A, PDF pp. 36–41.</t>
        </is>
      </c>
      <c r="G46" s="8" t="inlineStr">
        <is>
          <t>PNNL_ICoM_2023_Annual_Report_Final.pdf</t>
        </is>
      </c>
      <c r="H46" s="8" t="inlineStr">
        <is>
          <t>Appendix A, PDF pp. 36–41</t>
        </is>
      </c>
    </row>
    <row r="47">
      <c r="A47" s="8" t="n">
        <v>54</v>
      </c>
      <c r="B47" s="8" t="inlineStr">
        <is>
          <t>10.5194/essd-16-2007-2024</t>
        </is>
      </c>
      <c r="C47" s="8" t="inlineStr">
        <is>
          <t>Global 1-km land surface parameters for kilometer-scale Earth system modeling</t>
        </is>
      </c>
      <c r="D47" s="8" t="inlineStr">
        <is>
          <t>FY24</t>
        </is>
      </c>
      <c r="E47" s="8" t="inlineStr">
        <is>
          <t>Published / Indexed</t>
        </is>
      </c>
      <c r="F47" s="8" t="inlineStr">
        <is>
          <t>ICoM 2024 Annual Report; Appendix A, PDF pp. 39–44.</t>
        </is>
      </c>
      <c r="G47" s="8" t="inlineStr">
        <is>
          <t>ICoM 2024 Annual Report.pdf</t>
        </is>
      </c>
      <c r="H47" s="8" t="inlineStr">
        <is>
          <t>Appendix A, PDF pp. 39–44</t>
        </is>
      </c>
    </row>
    <row r="48">
      <c r="A48" s="8" t="n">
        <v>55</v>
      </c>
      <c r="B48" s="8" t="inlineStr">
        <is>
          <t>10.1007/978-3-031-89692-7_15</t>
        </is>
      </c>
      <c r="C48" s="8" t="inlineStr">
        <is>
          <t>Graph Neural Differential Equations for Coarse-Grained Socioeconomic Dynamics</t>
        </is>
      </c>
      <c r="D48" s="8" t="inlineStr">
        <is>
          <t>FY24</t>
        </is>
      </c>
      <c r="E48" s="8" t="inlineStr">
        <is>
          <t>Accepted / In press</t>
        </is>
      </c>
      <c r="F48" s="8" t="inlineStr">
        <is>
          <t>ICoM 2024 Annual Report; Appendix A, PDF pp. 39–44.</t>
        </is>
      </c>
      <c r="G48" s="8" t="inlineStr">
        <is>
          <t>ICoM 2024 Annual Report.pdf</t>
        </is>
      </c>
      <c r="H48" s="8" t="inlineStr">
        <is>
          <t>Appendix A, PDF pp. 39–44</t>
        </is>
      </c>
    </row>
    <row r="49">
      <c r="A49" s="8" t="n">
        <v>56</v>
      </c>
      <c r="B49" s="8" t="inlineStr">
        <is>
          <t>10.1029/2024ef004479</t>
        </is>
      </c>
      <c r="C49" s="8" t="inlineStr">
        <is>
          <t>Impacts of sea-level rise on coastal groundwater table simulated by an Earth system model with a land-ocean coupling scheme</t>
        </is>
      </c>
      <c r="D49" s="8" t="inlineStr">
        <is>
          <t>FY24</t>
        </is>
      </c>
      <c r="E49" s="8" t="inlineStr">
        <is>
          <t>Published / Indexed</t>
        </is>
      </c>
      <c r="F49" s="8" t="inlineStr">
        <is>
          <t>ICoM 2024 Annual Report; Appendix A, PDF pp. 39–44.</t>
        </is>
      </c>
      <c r="G49" s="8" t="inlineStr">
        <is>
          <t>ICoM 2024 Annual Report.pdf</t>
        </is>
      </c>
      <c r="H49" s="8" t="inlineStr">
        <is>
          <t>Appendix A, PDF pp. 39–44</t>
        </is>
      </c>
    </row>
    <row r="50">
      <c r="A50" s="8" t="n">
        <v>57</v>
      </c>
      <c r="B50" s="8" t="inlineStr">
        <is>
          <t>10.1038/s41467-024-54946-z</t>
        </is>
      </c>
      <c r="C50" s="8" t="inlineStr">
        <is>
          <t>Intensification of future subsurface marine heatwaves in an eddy-resolving model</t>
        </is>
      </c>
      <c r="D50" s="8" t="inlineStr">
        <is>
          <t>FY24</t>
        </is>
      </c>
      <c r="E50" s="8" t="inlineStr">
        <is>
          <t>Published / Indexed</t>
        </is>
      </c>
      <c r="F50" s="8" t="inlineStr">
        <is>
          <t>ICoM 2024 Annual Report; Appendix A, PDF pp. 39–44.</t>
        </is>
      </c>
      <c r="G50" s="8" t="inlineStr">
        <is>
          <t>ICoM 2024 Annual Report.pdf</t>
        </is>
      </c>
      <c r="H50" s="8" t="inlineStr">
        <is>
          <t>Appendix A, PDF pp. 39–44</t>
        </is>
      </c>
    </row>
    <row r="51">
      <c r="A51" s="8" t="n">
        <v>58</v>
      </c>
      <c r="B51" s="8" t="inlineStr">
        <is>
          <t>10.1038/s41467-024-52241-5</t>
        </is>
      </c>
      <c r="C51" s="8" t="inlineStr">
        <is>
          <t>Large disagreements in estimates of urban land across scales and their implications</t>
        </is>
      </c>
      <c r="D51" s="8" t="inlineStr">
        <is>
          <t>FY24</t>
        </is>
      </c>
      <c r="E51" s="8" t="inlineStr">
        <is>
          <t>Published / Indexed</t>
        </is>
      </c>
      <c r="F51" s="8" t="inlineStr">
        <is>
          <t>ICoM 2024 Annual Report; Appendix A, PDF pp. 39–44.</t>
        </is>
      </c>
      <c r="G51" s="8" t="inlineStr">
        <is>
          <t>ICoM 2024 Annual Report.pdf</t>
        </is>
      </c>
      <c r="H51" s="8" t="inlineStr">
        <is>
          <t>Appendix A, PDF pp. 39–44</t>
        </is>
      </c>
    </row>
    <row r="52">
      <c r="A52" s="8" t="n">
        <v>59</v>
      </c>
      <c r="B52" s="8" t="inlineStr">
        <is>
          <t>10.1016/j.jcp.2024.113511</t>
        </is>
      </c>
      <c r="C52" s="8" t="inlineStr">
        <is>
          <t>Local time-stepping for the shallow water equations using CFL optimized forward-backward Runge-Kutta schemes</t>
        </is>
      </c>
      <c r="D52" s="8" t="inlineStr">
        <is>
          <t>FY24</t>
        </is>
      </c>
      <c r="E52" s="8" t="inlineStr">
        <is>
          <t>Published / Indexed</t>
        </is>
      </c>
      <c r="F52" s="8" t="inlineStr">
        <is>
          <t>ICoM 2024 Annual Report; Appendix A, PDF pp. 39–44.</t>
        </is>
      </c>
      <c r="G52" s="8" t="inlineStr">
        <is>
          <t>ICoM 2024 Annual Report.pdf</t>
        </is>
      </c>
      <c r="H52" s="8" t="inlineStr">
        <is>
          <t>Appendix A, PDF pp. 39–44</t>
        </is>
      </c>
    </row>
    <row r="53">
      <c r="A53" s="8" t="n">
        <v>60</v>
      </c>
      <c r="B53" s="8" t="inlineStr">
        <is>
          <t>10.1029/2024gl110087</t>
        </is>
      </c>
      <c r="C53" s="8" t="inlineStr">
        <is>
          <t>Observed increase in tropical cyclone-induced sea surface cooling near the U.S</t>
        </is>
      </c>
      <c r="D53" s="8" t="inlineStr">
        <is>
          <t>FY24</t>
        </is>
      </c>
      <c r="E53" s="8" t="inlineStr">
        <is>
          <t>Published / Indexed</t>
        </is>
      </c>
      <c r="F53" s="8" t="inlineStr">
        <is>
          <t>ICoM 2024 Annual Report; Appendix A, PDF pp. 39–44.</t>
        </is>
      </c>
      <c r="G53" s="8" t="inlineStr">
        <is>
          <t>ICoM 2024 Annual Report.pdf</t>
        </is>
      </c>
      <c r="H53" s="8" t="inlineStr">
        <is>
          <t>Appendix A, PDF pp. 39–44</t>
        </is>
      </c>
    </row>
    <row r="54">
      <c r="A54" s="8" t="n">
        <v>61</v>
      </c>
      <c r="B54" s="8" t="inlineStr">
        <is>
          <t>10.1029/2023ms003845</t>
        </is>
      </c>
      <c r="C54" s="8" t="inlineStr">
        <is>
          <t>On the sensitivity of coastal hypoxia to its external physical forcings</t>
        </is>
      </c>
      <c r="D54" s="8" t="inlineStr">
        <is>
          <t>FY23</t>
        </is>
      </c>
      <c r="E54" s="8" t="inlineStr">
        <is>
          <t>Submitted / In review</t>
        </is>
      </c>
      <c r="F54" s="8" t="inlineStr">
        <is>
          <t>ICoM 2023 Annual Report; Appendix A, PDF pp. 36–41.</t>
        </is>
      </c>
      <c r="G54" s="8" t="inlineStr">
        <is>
          <t>PNNL_ICoM_2023_Annual_Report_Final.pdf</t>
        </is>
      </c>
      <c r="H54" s="8" t="inlineStr">
        <is>
          <t>Appendix A, PDF pp. 36–41</t>
        </is>
      </c>
    </row>
    <row r="55">
      <c r="A55" s="8" t="n">
        <v>61</v>
      </c>
      <c r="B55" s="8" t="inlineStr">
        <is>
          <t>10.1029/2023ms003845</t>
        </is>
      </c>
      <c r="C55" s="8" t="inlineStr">
        <is>
          <t>On the sensitivity of coastal hypoxia to its external physical forcings</t>
        </is>
      </c>
      <c r="D55" s="8" t="inlineStr">
        <is>
          <t>FY24</t>
        </is>
      </c>
      <c r="E55" s="8" t="inlineStr">
        <is>
          <t>Published / Indexed</t>
        </is>
      </c>
      <c r="F55" s="8" t="inlineStr">
        <is>
          <t>ICoM 2024 Annual Report; Appendix A, PDF pp. 39–44.</t>
        </is>
      </c>
      <c r="G55" s="8" t="inlineStr">
        <is>
          <t>ICoM 2024 Annual Report.pdf</t>
        </is>
      </c>
      <c r="H55" s="8" t="inlineStr">
        <is>
          <t>Appendix A, PDF pp. 39–44</t>
        </is>
      </c>
    </row>
    <row r="56">
      <c r="A56" s="8" t="n">
        <v>63</v>
      </c>
      <c r="B56" s="8" t="inlineStr">
        <is>
          <t>10.1029/2023ms004054</t>
        </is>
      </c>
      <c r="C56" s="8" t="inlineStr">
        <is>
          <t>Simulation of compound flooding using river-ocean two-way coupled E3SM ensemble on variable-resolution meshes</t>
        </is>
      </c>
      <c r="D56" s="8" t="inlineStr">
        <is>
          <t>FY24</t>
        </is>
      </c>
      <c r="E56" s="8" t="inlineStr">
        <is>
          <t>Published / Indexed</t>
        </is>
      </c>
      <c r="F56" s="8" t="inlineStr">
        <is>
          <t>ICoM 2024 Annual Report; Appendix A, PDF pp. 39–44.</t>
        </is>
      </c>
      <c r="G56" s="8" t="inlineStr">
        <is>
          <t>ICoM 2024 Annual Report.pdf</t>
        </is>
      </c>
      <c r="H56" s="8" t="inlineStr">
        <is>
          <t>Appendix A, PDF pp. 39–44</t>
        </is>
      </c>
    </row>
    <row r="57">
      <c r="A57" s="8" t="n">
        <v>65</v>
      </c>
      <c r="B57" s="8" t="inlineStr">
        <is>
          <t>10.1038/s41467-023-41732-6</t>
        </is>
      </c>
      <c r="C57" s="8" t="inlineStr">
        <is>
          <t>A cleaner snow future mitigates Northern Hemisphere snowpack loss from warming</t>
        </is>
      </c>
      <c r="D57" s="8" t="inlineStr">
        <is>
          <t>FY24</t>
        </is>
      </c>
      <c r="E57" s="8" t="inlineStr">
        <is>
          <t>Published / Indexed</t>
        </is>
      </c>
      <c r="F57" s="8" t="inlineStr">
        <is>
          <t>ICoM 2024 Annual Report; Appendix A, PDF pp. 39–44.</t>
        </is>
      </c>
      <c r="G57" s="8" t="inlineStr">
        <is>
          <t>ICoM 2024 Annual Report.pdf</t>
        </is>
      </c>
      <c r="H57" s="8" t="inlineStr">
        <is>
          <t>Appendix A, PDF pp. 39–44</t>
        </is>
      </c>
    </row>
    <row r="58">
      <c r="A58" s="8" t="n">
        <v>66</v>
      </c>
      <c r="B58" s="8" t="inlineStr">
        <is>
          <t>10.1007/s11069-023-06100-z</t>
        </is>
      </c>
      <c r="C58" s="8" t="inlineStr">
        <is>
          <t>A new method for predicting hurricane rapid intensification based on co-occurring environmental parameters</t>
        </is>
      </c>
      <c r="D58" s="8" t="inlineStr">
        <is>
          <t>FY24</t>
        </is>
      </c>
      <c r="E58" s="8" t="inlineStr">
        <is>
          <t>Published / Indexed</t>
        </is>
      </c>
      <c r="F58" s="8" t="inlineStr">
        <is>
          <t>ICoM 2024 Annual Report; Appendix A, PDF pp. 39–44.</t>
        </is>
      </c>
      <c r="G58" s="8" t="inlineStr">
        <is>
          <t>ICoM 2024 Annual Report.pdf</t>
        </is>
      </c>
      <c r="H58" s="8" t="inlineStr">
        <is>
          <t>Appendix A, PDF pp. 39–44</t>
        </is>
      </c>
    </row>
    <row r="59">
      <c r="A59" s="8" t="n">
        <v>67</v>
      </c>
      <c r="B59" s="8" t="inlineStr">
        <is>
          <t>10.1007/s10584-023-03495-3</t>
        </is>
      </c>
      <c r="C59" s="8" t="inlineStr">
        <is>
          <t>Amplified drought trends in Nepal increase the potential for Himalayan wildfires</t>
        </is>
      </c>
      <c r="D59" s="8" t="inlineStr">
        <is>
          <t>FY23</t>
        </is>
      </c>
      <c r="E59" s="8" t="inlineStr">
        <is>
          <t>Published / Indexed</t>
        </is>
      </c>
      <c r="F59" s="8" t="inlineStr">
        <is>
          <t>ICoM 2023 Annual Report; Appendix A, PDF pp. 36–41.</t>
        </is>
      </c>
      <c r="G59" s="8" t="inlineStr">
        <is>
          <t>PNNL_ICoM_2023_Annual_Report_Final.pdf</t>
        </is>
      </c>
      <c r="H59" s="8" t="inlineStr">
        <is>
          <t>Appendix A, PDF pp. 36–41</t>
        </is>
      </c>
    </row>
    <row r="60">
      <c r="A60" s="8" t="n">
        <v>68</v>
      </c>
      <c r="B60" s="8" t="inlineStr">
        <is>
          <t>10.5194/gmd-16-1297-2023</t>
        </is>
      </c>
      <c r="C60" s="8" t="inlineStr">
        <is>
          <t>Barotropic tides in MPAS-Ocean (E3SM V2): impact of ice shelf cavities, Geoscientific Model Development, 16, 1297-1314. https://doi.org/10.5194/gmd-16-1297-2023</t>
        </is>
      </c>
      <c r="D60" s="8" t="inlineStr">
        <is>
          <t>FY23</t>
        </is>
      </c>
      <c r="E60" s="8" t="inlineStr">
        <is>
          <t>Published / Indexed</t>
        </is>
      </c>
      <c r="F60" s="8" t="inlineStr">
        <is>
          <t>ICoM 2023 Annual Report; Appendix A, PDF pp. 36–41.</t>
        </is>
      </c>
      <c r="G60" s="8" t="inlineStr">
        <is>
          <t>PNNL_ICoM_2023_Annual_Report_Final.pdf</t>
        </is>
      </c>
      <c r="H60" s="8" t="inlineStr">
        <is>
          <t>Appendix A, PDF pp. 36–41</t>
        </is>
      </c>
    </row>
    <row r="61">
      <c r="A61" s="8" t="n">
        <v>69</v>
      </c>
      <c r="B61" s="8" t="inlineStr">
        <is>
          <t>10.1175/mwr-d-23-0113.1</t>
        </is>
      </c>
      <c r="C61" s="8" t="inlineStr">
        <is>
          <t>CFL optimized forward-backward Runge-Kutta schemes for the shallow-water equations</t>
        </is>
      </c>
      <c r="D61" s="8" t="inlineStr">
        <is>
          <t>FY24</t>
        </is>
      </c>
      <c r="E61" s="8" t="inlineStr">
        <is>
          <t>Published / Indexed</t>
        </is>
      </c>
      <c r="F61" s="8" t="inlineStr">
        <is>
          <t>ICoM 2024 Annual Report; Appendix A, PDF pp. 39–44.</t>
        </is>
      </c>
      <c r="G61" s="8" t="inlineStr">
        <is>
          <t>ICoM 2024 Annual Report.pdf</t>
        </is>
      </c>
      <c r="H61" s="8" t="inlineStr">
        <is>
          <t>Appendix A, PDF pp. 39–44</t>
        </is>
      </c>
    </row>
    <row r="62">
      <c r="A62" s="8" t="n">
        <v>70</v>
      </c>
      <c r="B62" s="8" t="inlineStr">
        <is>
          <t>10.1029/2023ef003539</t>
        </is>
      </c>
      <c r="C62" s="8" t="inlineStr">
        <is>
          <t>Climate change signal in Atlantic tropical cyclones today and near future</t>
        </is>
      </c>
      <c r="D62" s="8" t="inlineStr">
        <is>
          <t>FY23</t>
        </is>
      </c>
      <c r="E62" s="8" t="inlineStr">
        <is>
          <t>Submitted / In review</t>
        </is>
      </c>
      <c r="F62" s="8" t="inlineStr">
        <is>
          <t>ICoM 2023 Annual Report; Appendix A, PDF pp. 36–41.</t>
        </is>
      </c>
      <c r="G62" s="8" t="inlineStr">
        <is>
          <t>PNNL_ICoM_2023_Annual_Report_Final.pdf</t>
        </is>
      </c>
      <c r="H62" s="8" t="inlineStr">
        <is>
          <t>Appendix A, PDF pp. 36–41</t>
        </is>
      </c>
    </row>
    <row r="63">
      <c r="A63" s="8" t="n">
        <v>70</v>
      </c>
      <c r="B63" s="8" t="inlineStr">
        <is>
          <t>10.1029/2023ef003539</t>
        </is>
      </c>
      <c r="C63" s="8" t="inlineStr">
        <is>
          <t>Climate change signal in Atlantic tropical cyclones today and near future</t>
        </is>
      </c>
      <c r="D63" s="8" t="inlineStr">
        <is>
          <t>FY24</t>
        </is>
      </c>
      <c r="E63" s="8" t="inlineStr">
        <is>
          <t>Published / Indexed</t>
        </is>
      </c>
      <c r="F63" s="8" t="inlineStr">
        <is>
          <t>ICoM 2024 Annual Report; Appendix A, PDF pp. 39–44.</t>
        </is>
      </c>
      <c r="G63" s="8" t="inlineStr">
        <is>
          <t>ICoM 2024 Annual Report.pdf</t>
        </is>
      </c>
      <c r="H63" s="8" t="inlineStr">
        <is>
          <t>Appendix A, PDF pp. 39–44</t>
        </is>
      </c>
    </row>
    <row r="64">
      <c r="A64" s="8" t="n">
        <v>71</v>
      </c>
      <c r="B64" s="8" t="inlineStr">
        <is>
          <t>10.1016/j.uclim.2023.101615</t>
        </is>
      </c>
      <c r="C64" s="8" t="inlineStr">
        <is>
          <t>Comparing land surface temperature and mean radiant temperature for urban heat mapping in Philadelphia</t>
        </is>
      </c>
      <c r="D64" s="8" t="inlineStr">
        <is>
          <t>FY24</t>
        </is>
      </c>
      <c r="E64" s="8" t="inlineStr">
        <is>
          <t>Published / Indexed</t>
        </is>
      </c>
      <c r="F64" s="8" t="inlineStr">
        <is>
          <t>ICoM 2024 Annual Report; Appendix A, PDF pp. 39–44.</t>
        </is>
      </c>
      <c r="G64" s="8" t="inlineStr">
        <is>
          <t>ICoM 2024 Annual Report.pdf</t>
        </is>
      </c>
      <c r="H64" s="8" t="inlineStr">
        <is>
          <t>Appendix A, PDF pp. 39–44</t>
        </is>
      </c>
    </row>
    <row r="65">
      <c r="A65" s="8" t="n">
        <v>72</v>
      </c>
      <c r="B65" s="8" t="inlineStr">
        <is>
          <t>10.1029/2022ef003211</t>
        </is>
      </c>
      <c r="C65" s="8" t="inlineStr">
        <is>
          <t>Connecting large-scale meteorological patterns to extratropical cyclones in CMIP6 climate models using self-organizing maps</t>
        </is>
      </c>
      <c r="D65" s="8" t="inlineStr">
        <is>
          <t>FY23</t>
        </is>
      </c>
      <c r="E65" s="8" t="inlineStr">
        <is>
          <t>Submitted / In review</t>
        </is>
      </c>
      <c r="F65" s="8" t="inlineStr">
        <is>
          <t>ICoM 2023 Annual Report; Appendix A, PDF pp. 36–41.</t>
        </is>
      </c>
      <c r="G65" s="8" t="inlineStr">
        <is>
          <t>PNNL_ICoM_2023_Annual_Report_Final.pdf</t>
        </is>
      </c>
      <c r="H65" s="8" t="inlineStr">
        <is>
          <t>Appendix A, PDF pp. 36–41</t>
        </is>
      </c>
    </row>
    <row r="66">
      <c r="A66" s="8" t="n">
        <v>72</v>
      </c>
      <c r="B66" s="8" t="inlineStr">
        <is>
          <t>10.1029/2022ef003211</t>
        </is>
      </c>
      <c r="C66" s="8" t="inlineStr">
        <is>
          <t>Connecting large-scale meteorological patterns to extratropical cyclones in CMIP6 climate models using self-organizing maps</t>
        </is>
      </c>
      <c r="D66" s="8" t="inlineStr">
        <is>
          <t>FY24</t>
        </is>
      </c>
      <c r="E66" s="8" t="inlineStr">
        <is>
          <t>Published / Indexed</t>
        </is>
      </c>
      <c r="F66" s="8" t="inlineStr">
        <is>
          <t>ICoM 2024 Annual Report; Appendix A, PDF pp. 39–44.</t>
        </is>
      </c>
      <c r="G66" s="8" t="inlineStr">
        <is>
          <t>ICoM 2024 Annual Report.pdf</t>
        </is>
      </c>
      <c r="H66" s="8" t="inlineStr">
        <is>
          <t>Appendix A, PDF pp. 39–44</t>
        </is>
      </c>
    </row>
    <row r="67">
      <c r="A67" s="8" t="n">
        <v>73</v>
      </c>
      <c r="B67" s="8" t="inlineStr">
        <is>
          <t>10.1016/j.envsoft.2023.105630</t>
        </is>
      </c>
      <c r="C67" s="8" t="inlineStr">
        <is>
          <t>Extremely rapid, Lagrangian modeling of 2D flooding: a rivulet-based approach</t>
        </is>
      </c>
      <c r="D67" s="8" t="inlineStr">
        <is>
          <t>FY22</t>
        </is>
      </c>
      <c r="E67" s="8" t="inlineStr">
        <is>
          <t>Submitted / In review</t>
        </is>
      </c>
      <c r="F67" s="8" t="inlineStr">
        <is>
          <t>ICoM 2022 Annual Report; Appendix A, PDF pp. 35–38.</t>
        </is>
      </c>
      <c r="G67" s="8" t="inlineStr">
        <is>
          <t>PNNL_ICoM_2022_Annual_Report.pdf</t>
        </is>
      </c>
      <c r="H67" s="8" t="inlineStr">
        <is>
          <t>Appendix A, PDF pp. 35–38</t>
        </is>
      </c>
    </row>
    <row r="68">
      <c r="A68" s="8" t="n">
        <v>73</v>
      </c>
      <c r="B68" s="8" t="inlineStr">
        <is>
          <t>10.1016/j.envsoft.2023.105630</t>
        </is>
      </c>
      <c r="C68" s="8" t="inlineStr">
        <is>
          <t>Extremely rapid, Lagrangian modeling of 2D flooding: a rivulet-based approach</t>
        </is>
      </c>
      <c r="D68" s="8" t="inlineStr">
        <is>
          <t>FY23</t>
        </is>
      </c>
      <c r="E68" s="8" t="inlineStr">
        <is>
          <t>Published / Indexed</t>
        </is>
      </c>
      <c r="F68" s="8" t="inlineStr">
        <is>
          <t>ICoM 2023 Annual Report; Appendix A, PDF pp. 36–41.</t>
        </is>
      </c>
      <c r="G68" s="8" t="inlineStr">
        <is>
          <t>PNNL_ICoM_2023_Annual_Report_Final.pdf</t>
        </is>
      </c>
      <c r="H68" s="8" t="inlineStr">
        <is>
          <t>Appendix A, PDF pp. 36–41</t>
        </is>
      </c>
    </row>
    <row r="69">
      <c r="A69" s="8" t="n">
        <v>74</v>
      </c>
      <c r="B69" s="8" t="inlineStr">
        <is>
          <t>10.1126/sciadv.adf0259</t>
        </is>
      </c>
      <c r="C69" s="8" t="inlineStr">
        <is>
          <t>Increased U.S. coastal hurricane risk under climate change</t>
        </is>
      </c>
      <c r="D69" s="8" t="inlineStr">
        <is>
          <t>FY23</t>
        </is>
      </c>
      <c r="E69" s="8" t="inlineStr">
        <is>
          <t>Published / Indexed</t>
        </is>
      </c>
      <c r="F69" s="8" t="inlineStr">
        <is>
          <t>ICoM 2023 Annual Report; Appendix A, PDF pp. 36–41.</t>
        </is>
      </c>
      <c r="G69" s="8" t="inlineStr">
        <is>
          <t>PNNL_ICoM_2023_Annual_Report_Final.pdf</t>
        </is>
      </c>
      <c r="H69" s="8" t="inlineStr">
        <is>
          <t>Appendix A, PDF pp. 36–41</t>
        </is>
      </c>
    </row>
    <row r="70">
      <c r="A70" s="8" t="n">
        <v>75</v>
      </c>
      <c r="B70" s="8" t="inlineStr">
        <is>
          <t>10.1175/waf-d-22-0100.1</t>
        </is>
      </c>
      <c r="C70" s="8" t="inlineStr">
        <is>
          <t>Inland flooding and rainfall from Hurricane Irene and Tropical Storm Lee (2011): coupled atmosphere-wave-ocean model simulations and remote sensing and in-situ observations with a machine learning tool</t>
        </is>
      </c>
      <c r="D70" s="8" t="inlineStr">
        <is>
          <t>FY22</t>
        </is>
      </c>
      <c r="E70" s="8" t="inlineStr">
        <is>
          <t>Submitted / In review</t>
        </is>
      </c>
      <c r="F70" s="8" t="inlineStr">
        <is>
          <t>ICoM 2022 Annual Report; Appendix A, PDF pp. 35–38.</t>
        </is>
      </c>
      <c r="G70" s="8" t="inlineStr">
        <is>
          <t>PNNL_ICoM_2022_Annual_Report.pdf</t>
        </is>
      </c>
      <c r="H70" s="8" t="inlineStr">
        <is>
          <t>Appendix A, PDF pp. 35–38</t>
        </is>
      </c>
    </row>
    <row r="71">
      <c r="A71" s="8" t="n">
        <v>75</v>
      </c>
      <c r="B71" s="8" t="inlineStr">
        <is>
          <t>10.1175/waf-d-22-0100.1</t>
        </is>
      </c>
      <c r="C71" s="8" t="inlineStr">
        <is>
          <t>Inland flooding and rainfall from Hurricane Irene and Tropical Storm Lee (2011): coupled atmosphere-wave-ocean model simulations and remote sensing and in-situ observations with a machine learning tool</t>
        </is>
      </c>
      <c r="D71" s="8" t="inlineStr">
        <is>
          <t>FY23</t>
        </is>
      </c>
      <c r="E71" s="8" t="inlineStr">
        <is>
          <t>Published / Indexed</t>
        </is>
      </c>
      <c r="F71" s="8" t="inlineStr">
        <is>
          <t>ICoM 2023 Annual Report; Appendix A, PDF pp. 36–41.</t>
        </is>
      </c>
      <c r="G71" s="8" t="inlineStr">
        <is>
          <t>PNNL_ICoM_2023_Annual_Report_Final.pdf</t>
        </is>
      </c>
      <c r="H71" s="8" t="inlineStr">
        <is>
          <t>Appendix A, PDF pp. 36–41</t>
        </is>
      </c>
    </row>
    <row r="72">
      <c r="A72" s="8" t="n">
        <v>76</v>
      </c>
      <c r="B72" s="8" t="inlineStr">
        <is>
          <t>10.1175/waf-d-22-0191.1</t>
        </is>
      </c>
      <c r="C72" s="8" t="inlineStr">
        <is>
          <t>Intensification of Hurricane Sally (2020) over the Mississippi River Plume</t>
        </is>
      </c>
      <c r="D72" s="8" t="inlineStr">
        <is>
          <t>FY23</t>
        </is>
      </c>
      <c r="E72" s="8" t="inlineStr">
        <is>
          <t>Accepted / In press</t>
        </is>
      </c>
      <c r="F72" s="8" t="inlineStr">
        <is>
          <t>ICoM 2023 Annual Report; Appendix A, PDF pp. 36–41.</t>
        </is>
      </c>
      <c r="G72" s="8" t="inlineStr">
        <is>
          <t>PNNL_ICoM_2023_Annual_Report_Final.pdf</t>
        </is>
      </c>
      <c r="H72" s="8" t="inlineStr">
        <is>
          <t>Appendix A, PDF pp. 36–41</t>
        </is>
      </c>
    </row>
    <row r="73">
      <c r="A73" s="8" t="n">
        <v>76</v>
      </c>
      <c r="B73" s="8" t="inlineStr">
        <is>
          <t>10.1175/waf-d-22-0191.1</t>
        </is>
      </c>
      <c r="C73" s="8" t="inlineStr">
        <is>
          <t>Intensification of Hurricane Sally (2020) over the Mississippi River Plume</t>
        </is>
      </c>
      <c r="D73" s="8" t="inlineStr">
        <is>
          <t>FY24</t>
        </is>
      </c>
      <c r="E73" s="8" t="inlineStr">
        <is>
          <t>Published / Indexed</t>
        </is>
      </c>
      <c r="F73" s="8" t="inlineStr">
        <is>
          <t>ICoM 2024 Annual Report; Appendix A, PDF pp. 39–44.</t>
        </is>
      </c>
      <c r="G73" s="8" t="inlineStr">
        <is>
          <t>ICoM 2024 Annual Report.pdf</t>
        </is>
      </c>
      <c r="H73" s="8" t="inlineStr">
        <is>
          <t>Appendix A, PDF pp. 39–44</t>
        </is>
      </c>
    </row>
    <row r="74">
      <c r="A74" s="8" t="n">
        <v>77</v>
      </c>
      <c r="B74" s="8" t="inlineStr">
        <is>
          <t>10.1029/2022ef002947</t>
        </is>
      </c>
      <c r="C74" s="8" t="inlineStr">
        <is>
          <t>Interacting effects of watershed and coastal processes on the evolution of compound flooding during Hurricane Irene</t>
        </is>
      </c>
      <c r="D74" s="8" t="inlineStr">
        <is>
          <t>FY22</t>
        </is>
      </c>
      <c r="E74" s="8" t="inlineStr">
        <is>
          <t>Submitted / In review</t>
        </is>
      </c>
      <c r="F74" s="8" t="inlineStr">
        <is>
          <t>ICoM 2022 Annual Report; Appendix A, PDF pp. 35–38.</t>
        </is>
      </c>
      <c r="G74" s="8" t="inlineStr">
        <is>
          <t>PNNL_ICoM_2022_Annual_Report.pdf</t>
        </is>
      </c>
      <c r="H74" s="8" t="inlineStr">
        <is>
          <t>Appendix A, PDF pp. 35–38</t>
        </is>
      </c>
    </row>
    <row r="75">
      <c r="A75" s="8" t="n">
        <v>77</v>
      </c>
      <c r="B75" s="8" t="inlineStr">
        <is>
          <t>10.1029/2022ef002947</t>
        </is>
      </c>
      <c r="C75" s="8" t="inlineStr">
        <is>
          <t>Interacting effects of watershed and coastal processes on the evolution of compound flooding during Hurricane Irene</t>
        </is>
      </c>
      <c r="D75" s="8" t="inlineStr">
        <is>
          <t>FY23</t>
        </is>
      </c>
      <c r="E75" s="8" t="inlineStr">
        <is>
          <t>Published / Indexed</t>
        </is>
      </c>
      <c r="F75" s="8" t="inlineStr">
        <is>
          <t>ICoM 2023 Annual Report; Appendix A, PDF pp. 36–41.</t>
        </is>
      </c>
      <c r="G75" s="8" t="inlineStr">
        <is>
          <t>PNNL_ICoM_2023_Annual_Report_Final.pdf</t>
        </is>
      </c>
      <c r="H75" s="8" t="inlineStr">
        <is>
          <t>Appendix A, PDF pp. 36–41</t>
        </is>
      </c>
    </row>
    <row r="76">
      <c r="A76" s="8" t="n">
        <v>78</v>
      </c>
      <c r="B76" s="8" t="inlineStr">
        <is>
          <t>10.1029/2022jd038107</t>
        </is>
      </c>
      <c r="C76" s="8" t="inlineStr">
        <is>
          <t>Modulation of tropical cyclone tracks and rainfall by the North Atlantic Oscillation</t>
        </is>
      </c>
      <c r="D76" s="8" t="inlineStr">
        <is>
          <t>FY23</t>
        </is>
      </c>
      <c r="E76" s="8" t="inlineStr">
        <is>
          <t>Accepted / In press</t>
        </is>
      </c>
      <c r="F76" s="8" t="inlineStr">
        <is>
          <t>ICoM 2023 Annual Report; Appendix A, PDF pp. 36–41.</t>
        </is>
      </c>
      <c r="G76" s="8" t="inlineStr">
        <is>
          <t>PNNL_ICoM_2023_Annual_Report_Final.pdf</t>
        </is>
      </c>
      <c r="H76" s="8" t="inlineStr">
        <is>
          <t>Appendix A, PDF pp. 36–41</t>
        </is>
      </c>
    </row>
    <row r="77">
      <c r="A77" s="8" t="n">
        <v>78</v>
      </c>
      <c r="B77" s="8" t="inlineStr">
        <is>
          <t>10.1029/2022jd038107</t>
        </is>
      </c>
      <c r="C77" s="8" t="inlineStr">
        <is>
          <t>Modulation of tropical cyclone tracks and rainfall by the North Atlantic Oscillation</t>
        </is>
      </c>
      <c r="D77" s="8" t="inlineStr">
        <is>
          <t>FY24</t>
        </is>
      </c>
      <c r="E77" s="8" t="inlineStr">
        <is>
          <t>Published / Indexed</t>
        </is>
      </c>
      <c r="F77" s="8" t="inlineStr">
        <is>
          <t>ICoM 2024 Annual Report; Appendix A, PDF pp. 39–44.</t>
        </is>
      </c>
      <c r="G77" s="8" t="inlineStr">
        <is>
          <t>ICoM 2024 Annual Report.pdf</t>
        </is>
      </c>
      <c r="H77" s="8" t="inlineStr">
        <is>
          <t>Appendix A, PDF pp. 39–44</t>
        </is>
      </c>
    </row>
    <row r="78">
      <c r="A78" s="8" t="n">
        <v>79</v>
      </c>
      <c r="B78" s="8" t="inlineStr">
        <is>
          <t>10.1029/2022wr033168</t>
        </is>
      </c>
      <c r="C78" s="8" t="inlineStr">
        <is>
          <t>Physics-informed neural networks of the Saint-Venant equations for downscaling a large-scale river model</t>
        </is>
      </c>
      <c r="D78" s="8" t="inlineStr">
        <is>
          <t>FY22</t>
        </is>
      </c>
      <c r="E78" s="8" t="inlineStr">
        <is>
          <t>Submitted / In review</t>
        </is>
      </c>
      <c r="F78" s="8" t="inlineStr">
        <is>
          <t>ICoM 2022 Annual Report; Appendix A, PDF pp. 35–38.</t>
        </is>
      </c>
      <c r="G78" s="8" t="inlineStr">
        <is>
          <t>PNNL_ICoM_2022_Annual_Report.pdf</t>
        </is>
      </c>
      <c r="H78" s="8" t="inlineStr">
        <is>
          <t>Appendix A, PDF pp. 35–38</t>
        </is>
      </c>
    </row>
    <row r="79">
      <c r="A79" s="8" t="n">
        <v>79</v>
      </c>
      <c r="B79" s="8" t="inlineStr">
        <is>
          <t>10.1029/2022wr033168</t>
        </is>
      </c>
      <c r="C79" s="8" t="inlineStr">
        <is>
          <t>Physics-informed neural networks of the Saint-Venant equations for downscaling a large-scale river model</t>
        </is>
      </c>
      <c r="D79" s="8" t="inlineStr">
        <is>
          <t>FY23</t>
        </is>
      </c>
      <c r="E79" s="8" t="inlineStr">
        <is>
          <t>Published / Indexed</t>
        </is>
      </c>
      <c r="F79" s="8" t="inlineStr">
        <is>
          <t>ICoM 2023 Annual Report; Appendix A, PDF pp. 36–41.</t>
        </is>
      </c>
      <c r="G79" s="8" t="inlineStr">
        <is>
          <t>PNNL_ICoM_2023_Annual_Report_Final.pdf</t>
        </is>
      </c>
      <c r="H79" s="8" t="inlineStr">
        <is>
          <t>Appendix A, PDF pp. 36–41</t>
        </is>
      </c>
    </row>
    <row r="80">
      <c r="A80" s="8" t="n">
        <v>80</v>
      </c>
      <c r="B80" s="8" t="inlineStr">
        <is>
          <t>10.1029/2022jd037494</t>
        </is>
      </c>
      <c r="C80" s="8" t="inlineStr">
        <is>
          <t>Potential weakening of the June 2012 North American derecho under future warming conditions</t>
        </is>
      </c>
      <c r="D80" s="8" t="inlineStr">
        <is>
          <t>FY23</t>
        </is>
      </c>
      <c r="E80" s="8" t="inlineStr">
        <is>
          <t>Published / Indexed</t>
        </is>
      </c>
      <c r="F80" s="8" t="inlineStr">
        <is>
          <t>ICoM 2023 Annual Report; Appendix A, PDF pp. 36–41.</t>
        </is>
      </c>
      <c r="G80" s="8" t="inlineStr">
        <is>
          <t>PNNL_ICoM_2023_Annual_Report_Final.pdf</t>
        </is>
      </c>
      <c r="H80" s="8" t="inlineStr">
        <is>
          <t>Appendix A, PDF pp. 36–41</t>
        </is>
      </c>
    </row>
    <row r="81">
      <c r="A81" s="8" t="n">
        <v>81</v>
      </c>
      <c r="B81" s="8" t="inlineStr">
        <is>
          <t>10.21105/joss.05446</t>
        </is>
      </c>
      <c r="C81" s="8" t="inlineStr">
        <is>
          <t>Pyflowline: A mesh-independent river network generator for hydrologic models</t>
        </is>
      </c>
      <c r="D81" s="8" t="inlineStr">
        <is>
          <t>FY23</t>
        </is>
      </c>
      <c r="E81" s="8" t="inlineStr">
        <is>
          <t>Submitted / In review</t>
        </is>
      </c>
      <c r="F81" s="8" t="inlineStr">
        <is>
          <t>ICoM 2023 Annual Report; Appendix A, PDF pp. 36–41.</t>
        </is>
      </c>
      <c r="G81" s="8" t="inlineStr">
        <is>
          <t>PNNL_ICoM_2023_Annual_Report_Final.pdf</t>
        </is>
      </c>
      <c r="H81" s="8" t="inlineStr">
        <is>
          <t>Appendix A, PDF pp. 36–41</t>
        </is>
      </c>
    </row>
    <row r="82">
      <c r="A82" s="8" t="n">
        <v>81</v>
      </c>
      <c r="B82" s="8" t="inlineStr">
        <is>
          <t>10.21105/joss.05446</t>
        </is>
      </c>
      <c r="C82" s="8" t="inlineStr">
        <is>
          <t>Pyflowline: A mesh-independent river network generator for hydrologic models</t>
        </is>
      </c>
      <c r="D82" s="8" t="inlineStr">
        <is>
          <t>FY24</t>
        </is>
      </c>
      <c r="E82" s="8" t="inlineStr">
        <is>
          <t>Published / Indexed</t>
        </is>
      </c>
      <c r="F82" s="8" t="inlineStr">
        <is>
          <t>ICoM 2024 Annual Report; Appendix A, PDF pp. 39–44.</t>
        </is>
      </c>
      <c r="G82" s="8" t="inlineStr">
        <is>
          <t>ICoM 2024 Annual Report.pdf</t>
        </is>
      </c>
      <c r="H82" s="8" t="inlineStr">
        <is>
          <t>Appendix A, PDF pp. 39–44</t>
        </is>
      </c>
    </row>
    <row r="83">
      <c r="A83" s="8" t="n">
        <v>83</v>
      </c>
      <c r="B83" s="8" t="inlineStr">
        <is>
          <t>10.1038/s41558-023-01880-5</t>
        </is>
      </c>
      <c r="C83" s="8" t="inlineStr">
        <is>
          <t>Reply to: Limitations of reanalyses for detecting tropical cyclone trends</t>
        </is>
      </c>
      <c r="D83" s="8" t="inlineStr">
        <is>
          <t>FY24</t>
        </is>
      </c>
      <c r="E83" s="8" t="inlineStr">
        <is>
          <t>Published / Indexed</t>
        </is>
      </c>
      <c r="F83" s="8" t="inlineStr">
        <is>
          <t>ICoM 2024 Annual Report; Appendix A, PDF pp. 39–44.</t>
        </is>
      </c>
      <c r="G83" s="8" t="inlineStr">
        <is>
          <t>ICoM 2024 Annual Report.pdf</t>
        </is>
      </c>
      <c r="H83" s="8" t="inlineStr">
        <is>
          <t>Appendix A, PDF pp. 39–44</t>
        </is>
      </c>
    </row>
    <row r="84">
      <c r="A84" s="8" t="n">
        <v>84</v>
      </c>
      <c r="B84" s="8" t="inlineStr">
        <is>
          <t>10.1016/j.oneear.2023.05.016</t>
        </is>
      </c>
      <c r="C84" s="8" t="inlineStr">
        <is>
          <t>Residential segregation and outdoor urban moist heat stress disparities in the United States</t>
        </is>
      </c>
      <c r="D84" s="8" t="inlineStr">
        <is>
          <t>FY23</t>
        </is>
      </c>
      <c r="E84" s="8" t="inlineStr">
        <is>
          <t>Accepted / In press</t>
        </is>
      </c>
      <c r="F84" s="8" t="inlineStr">
        <is>
          <t>ICoM 2023 Annual Report; Appendix A, PDF pp. 36–41.</t>
        </is>
      </c>
      <c r="G84" s="8" t="inlineStr">
        <is>
          <t>PNNL_ICoM_2023_Annual_Report_Final.pdf</t>
        </is>
      </c>
      <c r="H84" s="8" t="inlineStr">
        <is>
          <t>Appendix A, PDF pp. 36–41</t>
        </is>
      </c>
    </row>
    <row r="85">
      <c r="A85" s="8" t="n">
        <v>84</v>
      </c>
      <c r="B85" s="8" t="inlineStr">
        <is>
          <t>10.1016/j.oneear.2023.05.016</t>
        </is>
      </c>
      <c r="C85" s="8" t="inlineStr">
        <is>
          <t>Residential segregation and outdoor urban moist heat stress disparities in the United States</t>
        </is>
      </c>
      <c r="D85" s="8" t="inlineStr">
        <is>
          <t>FY24</t>
        </is>
      </c>
      <c r="E85" s="8" t="inlineStr">
        <is>
          <t>Published / Indexed</t>
        </is>
      </c>
      <c r="F85" s="8" t="inlineStr">
        <is>
          <t>ICoM 2024 Annual Report; Appendix A, PDF pp. 39–44.</t>
        </is>
      </c>
      <c r="G85" s="8" t="inlineStr">
        <is>
          <t>ICoM 2024 Annual Report.pdf</t>
        </is>
      </c>
      <c r="H85" s="8" t="inlineStr">
        <is>
          <t>Appendix A, PDF pp. 39–44</t>
        </is>
      </c>
    </row>
    <row r="86">
      <c r="A86" s="8" t="n">
        <v>85</v>
      </c>
      <c r="B86" s="8" t="inlineStr">
        <is>
          <t>10.1016/j.ocemod.2023.102160</t>
        </is>
      </c>
      <c r="C86" s="8" t="inlineStr">
        <is>
          <t>Scalable self-attraction and loading calculations for unstructured ocean models</t>
        </is>
      </c>
      <c r="D86" s="8" t="inlineStr">
        <is>
          <t>FY22</t>
        </is>
      </c>
      <c r="E86" s="8" t="inlineStr">
        <is>
          <t>Submitted / In review</t>
        </is>
      </c>
      <c r="F86" s="8" t="inlineStr">
        <is>
          <t>ICoM 2022 Annual Report; Appendix A, PDF pp. 35–38.</t>
        </is>
      </c>
      <c r="G86" s="8" t="inlineStr">
        <is>
          <t>PNNL_ICoM_2022_Annual_Report.pdf</t>
        </is>
      </c>
      <c r="H86" s="8" t="inlineStr">
        <is>
          <t>Appendix A, PDF pp. 35–38</t>
        </is>
      </c>
    </row>
    <row r="87">
      <c r="A87" s="8" t="n">
        <v>85</v>
      </c>
      <c r="B87" s="8" t="inlineStr">
        <is>
          <t>10.1016/j.ocemod.2023.102160</t>
        </is>
      </c>
      <c r="C87" s="8" t="inlineStr">
        <is>
          <t>Scalable self-attraction and loading calculations for unstructured ocean models</t>
        </is>
      </c>
      <c r="D87" s="8" t="inlineStr">
        <is>
          <t>FY23</t>
        </is>
      </c>
      <c r="E87" s="8" t="inlineStr">
        <is>
          <t>Published / Indexed</t>
        </is>
      </c>
      <c r="F87" s="8" t="inlineStr">
        <is>
          <t>ICoM 2023 Annual Report; Appendix A, PDF pp. 36–41.</t>
        </is>
      </c>
      <c r="G87" s="8" t="inlineStr">
        <is>
          <t>PNNL_ICoM_2023_Annual_Report_Final.pdf</t>
        </is>
      </c>
      <c r="H87" s="8" t="inlineStr">
        <is>
          <t>Appendix A, PDF pp. 36–41</t>
        </is>
      </c>
    </row>
    <row r="88">
      <c r="A88" s="8" t="n">
        <v>86</v>
      </c>
      <c r="B88" s="8" t="inlineStr">
        <is>
          <t>10.5194/hess-27-1909-2023</t>
        </is>
      </c>
      <c r="C88" s="8" t="inlineStr">
        <is>
          <t>Sensitivity of the pseudo-global warming method under flood conditions: A case study from the Northeastern United States</t>
        </is>
      </c>
      <c r="D88" s="8" t="inlineStr">
        <is>
          <t>FY23</t>
        </is>
      </c>
      <c r="E88" s="8" t="inlineStr">
        <is>
          <t>Published / Indexed</t>
        </is>
      </c>
      <c r="F88" s="8" t="inlineStr">
        <is>
          <t>ICoM 2023 Annual Report; Appendix A, PDF pp. 36–41.</t>
        </is>
      </c>
      <c r="G88" s="8" t="inlineStr">
        <is>
          <t>PNNL_ICoM_2023_Annual_Report_Final.pdf</t>
        </is>
      </c>
      <c r="H88" s="8" t="inlineStr">
        <is>
          <t>Appendix A, PDF pp. 36–41</t>
        </is>
      </c>
    </row>
    <row r="89">
      <c r="A89" s="8" t="n">
        <v>87</v>
      </c>
      <c r="B89" s="8" t="inlineStr">
        <is>
          <t>10.1029/2022ms003327</t>
        </is>
      </c>
      <c r="C89" s="8" t="inlineStr">
        <is>
          <t>Storm surge modeling as an application of local time-stepping in MPAS-Ocean</t>
        </is>
      </c>
      <c r="D89" s="8" t="inlineStr">
        <is>
          <t>FY23</t>
        </is>
      </c>
      <c r="E89" s="8" t="inlineStr">
        <is>
          <t>Published / Indexed</t>
        </is>
      </c>
      <c r="F89" s="8" t="inlineStr">
        <is>
          <t>ICoM 2023 Annual Report; Appendix A, PDF pp. 36–41.</t>
        </is>
      </c>
      <c r="G89" s="8" t="inlineStr">
        <is>
          <t>PNNL_ICoM_2023_Annual_Report_Final.pdf</t>
        </is>
      </c>
      <c r="H89" s="8" t="inlineStr">
        <is>
          <t>Appendix A, PDF pp. 36–41</t>
        </is>
      </c>
    </row>
    <row r="90">
      <c r="A90" s="8" t="n">
        <v>88</v>
      </c>
      <c r="B90" s="8" t="inlineStr">
        <is>
          <t>10.1175/jcli-d-22-0842.1</t>
        </is>
      </c>
      <c r="C90" s="8" t="inlineStr">
        <is>
          <t>Stronger tropical cyclone-induced ocean cooling in near-coastal regions compared to the open ocean</t>
        </is>
      </c>
      <c r="D90" s="8" t="inlineStr">
        <is>
          <t>FY23</t>
        </is>
      </c>
      <c r="E90" s="8" t="inlineStr">
        <is>
          <t>Accepted / In press</t>
        </is>
      </c>
      <c r="F90" s="8" t="inlineStr">
        <is>
          <t>ICoM 2023 Annual Report; Appendix A, PDF pp. 36–41.</t>
        </is>
      </c>
      <c r="G90" s="8" t="inlineStr">
        <is>
          <t>PNNL_ICoM_2023_Annual_Report_Final.pdf</t>
        </is>
      </c>
      <c r="H90" s="8" t="inlineStr">
        <is>
          <t>Appendix A, PDF pp. 36–41</t>
        </is>
      </c>
    </row>
    <row r="91">
      <c r="A91" s="8" t="n">
        <v>88</v>
      </c>
      <c r="B91" s="8" t="inlineStr">
        <is>
          <t>10.1175/jcli-d-22-0842.1</t>
        </is>
      </c>
      <c r="C91" s="8" t="inlineStr">
        <is>
          <t>Stronger tropical cyclone-induced ocean cooling in near-coastal regions compared to the open ocean</t>
        </is>
      </c>
      <c r="D91" s="8" t="inlineStr">
        <is>
          <t>FY24</t>
        </is>
      </c>
      <c r="E91" s="8" t="inlineStr">
        <is>
          <t>Published / Indexed</t>
        </is>
      </c>
      <c r="F91" s="8" t="inlineStr">
        <is>
          <t>ICoM 2024 Annual Report; Appendix A, PDF pp. 39–44.</t>
        </is>
      </c>
      <c r="G91" s="8" t="inlineStr">
        <is>
          <t>ICoM 2024 Annual Report.pdf</t>
        </is>
      </c>
      <c r="H91" s="8" t="inlineStr">
        <is>
          <t>Appendix A, PDF pp. 39–44</t>
        </is>
      </c>
    </row>
    <row r="92">
      <c r="A92" s="8" t="n">
        <v>89</v>
      </c>
      <c r="B92" s="8" t="inlineStr">
        <is>
          <t>10.1016/j.compenvurbsys.2023.101979</t>
        </is>
      </c>
      <c r="C92" s="8" t="inlineStr">
        <is>
          <t>Structural model choices regularly overshadow parametric uncertainty in agent-based simulations of household flood risk outcomes</t>
        </is>
      </c>
      <c r="D92" s="8" t="inlineStr">
        <is>
          <t>FY22</t>
        </is>
      </c>
      <c r="E92" s="8" t="inlineStr">
        <is>
          <t>Submitted / In review</t>
        </is>
      </c>
      <c r="F92" s="8" t="inlineStr">
        <is>
          <t>ICoM 2022 Annual Report; Appendix A, PDF pp. 35–38.</t>
        </is>
      </c>
      <c r="G92" s="8" t="inlineStr">
        <is>
          <t>PNNL_ICoM_2022_Annual_Report.pdf</t>
        </is>
      </c>
      <c r="H92" s="8" t="inlineStr">
        <is>
          <t>Appendix A, PDF pp. 35–38</t>
        </is>
      </c>
    </row>
    <row r="93">
      <c r="A93" s="8" t="n">
        <v>89</v>
      </c>
      <c r="B93" s="8" t="inlineStr">
        <is>
          <t>10.1016/j.compenvurbsys.2023.101979</t>
        </is>
      </c>
      <c r="C93" s="8" t="inlineStr">
        <is>
          <t>Structural model choices regularly overshadow parametric uncertainty in agent-based simulations of household flood risk outcomes</t>
        </is>
      </c>
      <c r="D93" s="8" t="inlineStr">
        <is>
          <t>FY23</t>
        </is>
      </c>
      <c r="E93" s="8" t="inlineStr">
        <is>
          <t>Published / Indexed</t>
        </is>
      </c>
      <c r="F93" s="8" t="inlineStr">
        <is>
          <t>ICoM 2023 Annual Report; Appendix A, PDF pp. 36–41.</t>
        </is>
      </c>
      <c r="G93" s="8" t="inlineStr">
        <is>
          <t>PNNL_ICoM_2023_Annual_Report_Final.pdf</t>
        </is>
      </c>
      <c r="H93" s="8" t="inlineStr">
        <is>
          <t>Appendix A, PDF pp. 36–41</t>
        </is>
      </c>
    </row>
    <row r="94">
      <c r="A94" s="8" t="n">
        <v>90</v>
      </c>
      <c r="B94" s="8" t="inlineStr">
        <is>
          <t>10.1016/j.crm.2023.100516</t>
        </is>
      </c>
      <c r="C94" s="8" t="inlineStr">
        <is>
          <t>The hazard components of representative key risks: the physical climate perspective</t>
        </is>
      </c>
      <c r="D94" s="8" t="inlineStr">
        <is>
          <t>FY23</t>
        </is>
      </c>
      <c r="E94" s="8" t="inlineStr">
        <is>
          <t>Published / Indexed</t>
        </is>
      </c>
      <c r="F94" s="8" t="inlineStr">
        <is>
          <t>ICoM 2023 Annual Report; Appendix A, PDF pp. 36–41.</t>
        </is>
      </c>
      <c r="G94" s="8" t="inlineStr">
        <is>
          <t>PNNL_ICoM_2023_Annual_Report_Final.pdf</t>
        </is>
      </c>
      <c r="H94" s="8" t="inlineStr">
        <is>
          <t>Appendix A, PDF pp. 36–41</t>
        </is>
      </c>
    </row>
    <row r="95">
      <c r="A95" s="8" t="n">
        <v>91</v>
      </c>
      <c r="B95" s="8" t="inlineStr">
        <is>
          <t>10.1029/2022ms003358</t>
        </is>
      </c>
      <c r="C95" s="8" t="inlineStr">
        <is>
          <t>The June 2012 North American derecho: A testbed for evaluating regional and global climate modeling systems at cloud-resolving scales</t>
        </is>
      </c>
      <c r="D95" s="8" t="inlineStr">
        <is>
          <t>FY23</t>
        </is>
      </c>
      <c r="E95" s="8" t="inlineStr">
        <is>
          <t>Published / Indexed</t>
        </is>
      </c>
      <c r="F95" s="8" t="inlineStr">
        <is>
          <t>ICoM 2023 Annual Report; Appendix A, PDF pp. 36–41.</t>
        </is>
      </c>
      <c r="G95" s="8" t="inlineStr">
        <is>
          <t>PNNL_ICoM_2023_Annual_Report_Final.pdf</t>
        </is>
      </c>
      <c r="H95" s="8" t="inlineStr">
        <is>
          <t>Appendix A, PDF pp. 36–41</t>
        </is>
      </c>
    </row>
    <row r="96">
      <c r="A96" s="8" t="n">
        <v>92</v>
      </c>
      <c r="B96" s="8" t="inlineStr">
        <is>
          <t>10.1029/2022ms003089</t>
        </is>
      </c>
      <c r="C96" s="8" t="inlineStr">
        <is>
          <t>Topological relationship-based flow direction modeling: Mesh-independent river networks representation</t>
        </is>
      </c>
      <c r="D96" s="8" t="inlineStr">
        <is>
          <t>FY22</t>
        </is>
      </c>
      <c r="E96" s="8" t="inlineStr">
        <is>
          <t>Submitted / In review</t>
        </is>
      </c>
      <c r="F96" s="8" t="inlineStr">
        <is>
          <t>ICoM 2022 Annual Report; Appendix A, PDF pp. 35–38.</t>
        </is>
      </c>
      <c r="G96" s="8" t="inlineStr">
        <is>
          <t>PNNL_ICoM_2022_Annual_Report.pdf</t>
        </is>
      </c>
      <c r="H96" s="8" t="inlineStr">
        <is>
          <t>Appendix A, PDF pp. 35–38</t>
        </is>
      </c>
    </row>
    <row r="97">
      <c r="A97" s="8" t="n">
        <v>92</v>
      </c>
      <c r="B97" s="8" t="inlineStr">
        <is>
          <t>10.1029/2022ms003089</t>
        </is>
      </c>
      <c r="C97" s="8" t="inlineStr">
        <is>
          <t>Topological relationship-based flow direction modeling: Mesh-independent river networks representation</t>
        </is>
      </c>
      <c r="D97" s="8" t="inlineStr">
        <is>
          <t>FY23</t>
        </is>
      </c>
      <c r="E97" s="8" t="inlineStr">
        <is>
          <t>Published / Indexed</t>
        </is>
      </c>
      <c r="F97" s="8" t="inlineStr">
        <is>
          <t>ICoM 2023 Annual Report; Appendix A, PDF pp. 36–41.</t>
        </is>
      </c>
      <c r="G97" s="8" t="inlineStr">
        <is>
          <t>PNNL_ICoM_2023_Annual_Report_Final.pdf</t>
        </is>
      </c>
      <c r="H97" s="8" t="inlineStr">
        <is>
          <t>Appendix A, PDF pp. 36–41</t>
        </is>
      </c>
    </row>
    <row r="98">
      <c r="A98" s="8" t="n">
        <v>93</v>
      </c>
      <c r="B98" s="8" t="inlineStr">
        <is>
          <t>10.1029/2022ms003487</t>
        </is>
      </c>
      <c r="C98" s="8" t="inlineStr">
        <is>
          <t>Topological relationship-based flow direction modeling: Stream burning and depression filling</t>
        </is>
      </c>
      <c r="D98" s="8" t="inlineStr">
        <is>
          <t>FY24</t>
        </is>
      </c>
      <c r="E98" s="8" t="inlineStr">
        <is>
          <t>Published / Indexed</t>
        </is>
      </c>
      <c r="F98" s="8" t="inlineStr">
        <is>
          <t>ICoM 2024 Annual Report; Appendix A, PDF pp. 39–44.</t>
        </is>
      </c>
      <c r="G98" s="8" t="inlineStr">
        <is>
          <t>ICoM 2024 Annual Report.pdf</t>
        </is>
      </c>
      <c r="H98" s="8" t="inlineStr">
        <is>
          <t>Appendix A, PDF pp. 39–44</t>
        </is>
      </c>
    </row>
    <row r="99">
      <c r="A99" s="8" t="n">
        <v>94</v>
      </c>
      <c r="B99" s="8" t="inlineStr">
        <is>
          <t>10.1175/jhm-d-22-0199.1</t>
        </is>
      </c>
      <c r="C99" s="8" t="inlineStr">
        <is>
          <t>Tropical cyclone rainfall climatology, extremes, and flooding potential from remote sensing and reanalysis datasets over the continental United States</t>
        </is>
      </c>
      <c r="D99" s="8" t="inlineStr">
        <is>
          <t>FY23</t>
        </is>
      </c>
      <c r="E99" s="8" t="inlineStr">
        <is>
          <t>Accepted / In press</t>
        </is>
      </c>
      <c r="F99" s="8" t="inlineStr">
        <is>
          <t>ICoM 2023 Annual Report; Appendix A, PDF pp. 36–41.</t>
        </is>
      </c>
      <c r="G99" s="8" t="inlineStr">
        <is>
          <t>PNNL_ICoM_2023_Annual_Report_Final.pdf</t>
        </is>
      </c>
      <c r="H99" s="8" t="inlineStr">
        <is>
          <t>Appendix A, PDF pp. 36–41</t>
        </is>
      </c>
    </row>
    <row r="100">
      <c r="A100" s="8" t="n">
        <v>94</v>
      </c>
      <c r="B100" s="8" t="inlineStr">
        <is>
          <t>10.1175/jhm-d-22-0199.1</t>
        </is>
      </c>
      <c r="C100" s="8" t="inlineStr">
        <is>
          <t>Tropical cyclone rainfall climatology, extremes, and flooding potential from remote sensing and reanalysis datasets over the continental United States</t>
        </is>
      </c>
      <c r="D100" s="8" t="inlineStr">
        <is>
          <t>FY24</t>
        </is>
      </c>
      <c r="E100" s="8" t="inlineStr">
        <is>
          <t>Published / Indexed</t>
        </is>
      </c>
      <c r="F100" s="8" t="inlineStr">
        <is>
          <t>ICoM 2024 Annual Report; Appendix A, PDF pp. 39–44.</t>
        </is>
      </c>
      <c r="G100" s="8" t="inlineStr">
        <is>
          <t>ICoM 2024 Annual Report.pdf</t>
        </is>
      </c>
      <c r="H100" s="8" t="inlineStr">
        <is>
          <t>Appendix A, PDF pp. 39–44</t>
        </is>
      </c>
    </row>
    <row r="101">
      <c r="A101" s="8" t="n">
        <v>95</v>
      </c>
      <c r="B101" s="8" t="inlineStr">
        <is>
          <t>10.1175/mwr-d-23-0141.1</t>
        </is>
      </c>
      <c r="C101" s="8" t="inlineStr">
        <is>
          <t>Two large-scale meteorological patterns are associated with short-duration dry spells in the northeastern United States</t>
        </is>
      </c>
      <c r="D101" s="8" t="inlineStr">
        <is>
          <t>FY23</t>
        </is>
      </c>
      <c r="E101" s="8" t="inlineStr">
        <is>
          <t>Submitted / In review</t>
        </is>
      </c>
      <c r="F101" s="8" t="inlineStr">
        <is>
          <t>ICoM 2023 Annual Report; Appendix A, PDF pp. 36–41.</t>
        </is>
      </c>
      <c r="G101" s="8" t="inlineStr">
        <is>
          <t>PNNL_ICoM_2023_Annual_Report_Final.pdf</t>
        </is>
      </c>
      <c r="H101" s="8" t="inlineStr">
        <is>
          <t>Appendix A, PDF pp. 36–41</t>
        </is>
      </c>
    </row>
    <row r="102">
      <c r="A102" s="8" t="n">
        <v>95</v>
      </c>
      <c r="B102" s="8" t="inlineStr">
        <is>
          <t>10.1175/mwr-d-23-0141.1</t>
        </is>
      </c>
      <c r="C102" s="8" t="inlineStr">
        <is>
          <t>Two large-scale meteorological patterns are associated with short-duration dry spells in the northeastern United States</t>
        </is>
      </c>
      <c r="D102" s="8" t="inlineStr">
        <is>
          <t>FY24</t>
        </is>
      </c>
      <c r="E102" s="8" t="inlineStr">
        <is>
          <t>Published / Indexed</t>
        </is>
      </c>
      <c r="F102" s="8" t="inlineStr">
        <is>
          <t>ICoM 2024 Annual Report; Appendix A, PDF pp. 39–44.</t>
        </is>
      </c>
      <c r="G102" s="8" t="inlineStr">
        <is>
          <t>ICoM 2024 Annual Report.pdf</t>
        </is>
      </c>
      <c r="H102" s="8" t="inlineStr">
        <is>
          <t>Appendix A, PDF pp. 39–44</t>
        </is>
      </c>
    </row>
    <row r="103">
      <c r="A103" s="8" t="n">
        <v>96</v>
      </c>
      <c r="B103" s="8" t="inlineStr">
        <is>
          <t>10.5194/hess-27-3911-2023</t>
        </is>
      </c>
      <c r="C103" s="8" t="inlineStr">
        <is>
          <t>Understanding the compound flood risk along the coast of the contiguous United States</t>
        </is>
      </c>
      <c r="D103" s="8" t="inlineStr">
        <is>
          <t>FY23</t>
        </is>
      </c>
      <c r="E103" s="8" t="inlineStr">
        <is>
          <t>Submitted / In review</t>
        </is>
      </c>
      <c r="F103" s="8" t="inlineStr">
        <is>
          <t>ICoM 2023 Annual Report; Appendix A, PDF pp. 36–41.</t>
        </is>
      </c>
      <c r="G103" s="8" t="inlineStr">
        <is>
          <t>PNNL_ICoM_2023_Annual_Report_Final.pdf</t>
        </is>
      </c>
      <c r="H103" s="8" t="inlineStr">
        <is>
          <t>Appendix A, PDF pp. 36–41</t>
        </is>
      </c>
    </row>
    <row r="104">
      <c r="A104" s="8" t="n">
        <v>96</v>
      </c>
      <c r="B104" s="8" t="inlineStr">
        <is>
          <t>10.5194/hess-27-3911-2023</t>
        </is>
      </c>
      <c r="C104" s="8" t="inlineStr">
        <is>
          <t>Understanding the compound flood risk along the coast of the contiguous United States</t>
        </is>
      </c>
      <c r="D104" s="8" t="inlineStr">
        <is>
          <t>FY24</t>
        </is>
      </c>
      <c r="E104" s="8" t="inlineStr">
        <is>
          <t>Published / Indexed</t>
        </is>
      </c>
      <c r="F104" s="8" t="inlineStr">
        <is>
          <t>ICoM 2024 Annual Report; Appendix A, PDF pp. 39–44.</t>
        </is>
      </c>
      <c r="G104" s="8" t="inlineStr">
        <is>
          <t>ICoM 2024 Annual Report.pdf</t>
        </is>
      </c>
      <c r="H104" s="8" t="inlineStr">
        <is>
          <t>Appendix A, PDF pp. 39–44</t>
        </is>
      </c>
    </row>
    <row r="105">
      <c r="A105" s="8" t="n">
        <v>97</v>
      </c>
      <c r="B105" s="8" t="inlineStr">
        <is>
          <t>10.1117/1.jrs.16.044528</t>
        </is>
      </c>
      <c r="C105" s="8" t="inlineStr">
        <is>
          <t>(2022): Geographically aware estimates of remotely sensed water properties for Chesapeake Bay</t>
        </is>
      </c>
      <c r="D105" s="8" t="inlineStr">
        <is>
          <t>FY23</t>
        </is>
      </c>
      <c r="E105" s="8" t="inlineStr">
        <is>
          <t>Published / Indexed</t>
        </is>
      </c>
      <c r="F105" s="8" t="inlineStr">
        <is>
          <t>ICoM 2023 Annual Report; Appendix A, PDF pp. 36–41.</t>
        </is>
      </c>
      <c r="G105" s="8" t="inlineStr">
        <is>
          <t>PNNL_ICoM_2023_Annual_Report_Final.pdf</t>
        </is>
      </c>
      <c r="H105" s="8" t="inlineStr">
        <is>
          <t>Appendix A, PDF pp. 36–41</t>
        </is>
      </c>
    </row>
    <row r="106">
      <c r="A106" s="8" t="n">
        <v>98</v>
      </c>
      <c r="B106" s="8" t="inlineStr">
        <is>
          <t>10.1111/1752-1688.12983</t>
        </is>
      </c>
      <c r="C106" s="8" t="inlineStr">
        <is>
          <t>A Novel Framework for Parametric Analysis of Coastal Transition Zone Modeling</t>
        </is>
      </c>
      <c r="D106" s="8" t="inlineStr">
        <is>
          <t>FY20</t>
        </is>
      </c>
      <c r="E106" s="8" t="inlineStr">
        <is>
          <t>Submitted / In review</t>
        </is>
      </c>
      <c r="F106" s="8" t="inlineStr">
        <is>
          <t>ICoM 2020 Annual Report; Body, PDF p. 8.</t>
        </is>
      </c>
      <c r="G106" s="8" t="inlineStr">
        <is>
          <t>PNNL_ICoM_2020_Annual_Report_FINAL.pdf</t>
        </is>
      </c>
      <c r="H106" s="8" t="inlineStr">
        <is>
          <t>Body, PDF p. 8</t>
        </is>
      </c>
    </row>
    <row r="107">
      <c r="A107" s="8" t="n">
        <v>98</v>
      </c>
      <c r="B107" s="8" t="inlineStr">
        <is>
          <t>10.1111/1752-1688.12983</t>
        </is>
      </c>
      <c r="C107" s="8" t="inlineStr">
        <is>
          <t>A Novel Framework for Parametric Analysis of Coastal Transition Zone Modeling</t>
        </is>
      </c>
      <c r="D107" s="8" t="inlineStr">
        <is>
          <t>FY21</t>
        </is>
      </c>
      <c r="E107" s="8" t="inlineStr">
        <is>
          <t>Submitted / In review</t>
        </is>
      </c>
      <c r="F107" s="8" t="inlineStr">
        <is>
          <t>ICoM 2021 Annual Report; Appendix A, PDF pp. 35–36.</t>
        </is>
      </c>
      <c r="G107" s="8" t="inlineStr">
        <is>
          <t>ICoM_2021_Annual_Report_FINAL.pdf</t>
        </is>
      </c>
      <c r="H107" s="8" t="inlineStr">
        <is>
          <t>Appendix A, PDF pp. 35–36</t>
        </is>
      </c>
    </row>
    <row r="108">
      <c r="A108" s="8" t="n">
        <v>98</v>
      </c>
      <c r="B108" s="8" t="inlineStr">
        <is>
          <t>10.1111/1752-1688.12983</t>
        </is>
      </c>
      <c r="C108" s="8" t="inlineStr">
        <is>
          <t>A Novel Framework for Parametric Analysis of Coastal Transition Zone Modeling</t>
        </is>
      </c>
      <c r="D108" s="8" t="inlineStr">
        <is>
          <t>FY22</t>
        </is>
      </c>
      <c r="E108" s="8" t="inlineStr">
        <is>
          <t>Published / Indexed</t>
        </is>
      </c>
      <c r="F108" s="8" t="inlineStr">
        <is>
          <t>ICoM 2022 Annual Report; Appendix A, PDF pp. 35–38.</t>
        </is>
      </c>
      <c r="G108" s="8" t="inlineStr">
        <is>
          <t>PNNL_ICoM_2022_Annual_Report.pdf</t>
        </is>
      </c>
      <c r="H108" s="8" t="inlineStr">
        <is>
          <t>Appendix A, PDF pp. 35–38</t>
        </is>
      </c>
    </row>
    <row r="109">
      <c r="A109" s="8" t="n">
        <v>99</v>
      </c>
      <c r="B109" s="8" t="inlineStr">
        <is>
          <t>10.1016/j.advwatres.2021.104099</t>
        </is>
      </c>
      <c r="C109" s="8" t="inlineStr">
        <is>
          <t>Advances in hexagon mesh-based flow direction modeling</t>
        </is>
      </c>
      <c r="D109" s="8" t="inlineStr">
        <is>
          <t>FY21</t>
        </is>
      </c>
      <c r="E109" s="8" t="inlineStr">
        <is>
          <t>Submitted / In review</t>
        </is>
      </c>
      <c r="F109" s="8" t="inlineStr">
        <is>
          <t>ICoM 2021 Annual Report; Appendix A, PDF pp. 35–36.</t>
        </is>
      </c>
      <c r="G109" s="8" t="inlineStr">
        <is>
          <t>ICoM_2021_Annual_Report_FINAL.pdf</t>
        </is>
      </c>
      <c r="H109" s="8" t="inlineStr">
        <is>
          <t>Appendix A, PDF pp. 35–36</t>
        </is>
      </c>
    </row>
    <row r="110">
      <c r="A110" s="8" t="n">
        <v>99</v>
      </c>
      <c r="B110" s="8" t="inlineStr">
        <is>
          <t>10.1016/j.advwatres.2021.104099</t>
        </is>
      </c>
      <c r="C110" s="8" t="inlineStr">
        <is>
          <t>Advances in hexagon mesh-based flow direction modeling</t>
        </is>
      </c>
      <c r="D110" s="8" t="inlineStr">
        <is>
          <t>FY22</t>
        </is>
      </c>
      <c r="E110" s="8" t="inlineStr">
        <is>
          <t>Published / Indexed</t>
        </is>
      </c>
      <c r="F110" s="8" t="inlineStr">
        <is>
          <t>ICoM 2022 Annual Report; Appendix A, PDF pp. 35–38.</t>
        </is>
      </c>
      <c r="G110" s="8" t="inlineStr">
        <is>
          <t>PNNL_ICoM_2022_Annual_Report.pdf</t>
        </is>
      </c>
      <c r="H110" s="8" t="inlineStr">
        <is>
          <t>Appendix A, PDF pp. 35–38</t>
        </is>
      </c>
    </row>
    <row r="111">
      <c r="A111" s="8" t="n">
        <v>100</v>
      </c>
      <c r="B111" s="8" t="inlineStr">
        <is>
          <t>10.5194/hess-26-4279-2022</t>
        </is>
      </c>
      <c r="C111" s="8" t="inlineStr">
        <is>
          <t>An algorithm for deriving the topology of belowground urban stormwater networks</t>
        </is>
      </c>
      <c r="D111" s="8" t="inlineStr">
        <is>
          <t>FY22</t>
        </is>
      </c>
      <c r="E111" s="8" t="inlineStr">
        <is>
          <t>Submitted / In review</t>
        </is>
      </c>
      <c r="F111" s="8" t="inlineStr">
        <is>
          <t>ICoM 2022 Annual Report; Appendix A, PDF pp. 35–38.</t>
        </is>
      </c>
      <c r="G111" s="8" t="inlineStr">
        <is>
          <t>PNNL_ICoM_2022_Annual_Report.pdf</t>
        </is>
      </c>
      <c r="H111" s="8" t="inlineStr">
        <is>
          <t>Appendix A, PDF pp. 35–38</t>
        </is>
      </c>
    </row>
    <row r="112">
      <c r="A112" s="8" t="n">
        <v>100</v>
      </c>
      <c r="B112" s="8" t="inlineStr">
        <is>
          <t>10.5194/hess-26-4279-2022</t>
        </is>
      </c>
      <c r="C112" s="8" t="inlineStr">
        <is>
          <t>An algorithm for deriving the topology of belowground urban stormwater networks</t>
        </is>
      </c>
      <c r="D112" s="8" t="inlineStr">
        <is>
          <t>FY23</t>
        </is>
      </c>
      <c r="E112" s="8" t="inlineStr">
        <is>
          <t>Published / Indexed</t>
        </is>
      </c>
      <c r="F112" s="8" t="inlineStr">
        <is>
          <t>ICoM 2023 Annual Report; Appendix A, PDF pp. 36–41.</t>
        </is>
      </c>
      <c r="G112" s="8" t="inlineStr">
        <is>
          <t>PNNL_ICoM_2023_Annual_Report_Final.pdf</t>
        </is>
      </c>
      <c r="H112" s="8" t="inlineStr">
        <is>
          <t>Appendix A, PDF pp. 36–41</t>
        </is>
      </c>
    </row>
    <row r="113">
      <c r="A113" s="8" t="n">
        <v>101</v>
      </c>
      <c r="B113" s="8" t="inlineStr">
        <is>
          <t>10.1007/s00382-022-06289-y</t>
        </is>
      </c>
      <c r="C113" s="8" t="inlineStr">
        <is>
          <t>Assessing the large-scale drivers of precipitation in the northeastern United States via linear orthogonal decomposition</t>
        </is>
      </c>
      <c r="D113" s="8" t="inlineStr">
        <is>
          <t>FY22</t>
        </is>
      </c>
      <c r="E113" s="8" t="inlineStr">
        <is>
          <t>Submitted / In review</t>
        </is>
      </c>
      <c r="F113" s="8" t="inlineStr">
        <is>
          <t>ICoM 2022 Annual Report; Appendix A, PDF pp. 35–38.</t>
        </is>
      </c>
      <c r="G113" s="8" t="inlineStr">
        <is>
          <t>PNNL_ICoM_2022_Annual_Report.pdf</t>
        </is>
      </c>
      <c r="H113" s="8" t="inlineStr">
        <is>
          <t>Appendix A, PDF pp. 35–38</t>
        </is>
      </c>
    </row>
    <row r="114">
      <c r="A114" s="8" t="n">
        <v>102</v>
      </c>
      <c r="B114" s="8" t="inlineStr">
        <is>
          <t>10.1038/s41467-019-09729-2</t>
        </is>
      </c>
      <c r="C114" s="8" t="inlineStr">
        <is>
          <t>Attributing extreme weather: the new science of extreme event attribution</t>
        </is>
      </c>
      <c r="D114" s="8" t="inlineStr">
        <is>
          <t>FY22</t>
        </is>
      </c>
      <c r="E114" s="8" t="inlineStr">
        <is>
          <t>Published / Indexed</t>
        </is>
      </c>
      <c r="F114" s="8" t="inlineStr">
        <is>
          <t>ICoM 2022 Annual Report; Appendix A, PDF pp. 35–38.</t>
        </is>
      </c>
      <c r="G114" s="8" t="inlineStr">
        <is>
          <t>PNNL_ICoM_2022_Annual_Report.pdf</t>
        </is>
      </c>
      <c r="H114" s="8" t="inlineStr">
        <is>
          <t>Appendix A, PDF pp. 35–38</t>
        </is>
      </c>
    </row>
    <row r="115">
      <c r="A115" s="8" t="n">
        <v>103</v>
      </c>
      <c r="B115" s="8" t="inlineStr">
        <is>
          <t>10.1038/s41467-022-29379-1</t>
        </is>
      </c>
      <c r="C115" s="8" t="inlineStr">
        <is>
          <t>Attribution of 2020 hurricane season extreme rainfall to human-induced climate change</t>
        </is>
      </c>
      <c r="D115" s="8" t="inlineStr">
        <is>
          <t>FY22</t>
        </is>
      </c>
      <c r="E115" s="8" t="inlineStr">
        <is>
          <t>Published / Indexed</t>
        </is>
      </c>
      <c r="F115" s="8" t="inlineStr">
        <is>
          <t>ICoM 2022 Annual Report; Appendix A, PDF pp. 35–38.</t>
        </is>
      </c>
      <c r="G115" s="8" t="inlineStr">
        <is>
          <t>PNNL_ICoM_2022_Annual_Report.pdf</t>
        </is>
      </c>
      <c r="H115" s="8" t="inlineStr">
        <is>
          <t>Appendix A, PDF pp. 35–38</t>
        </is>
      </c>
    </row>
    <row r="116">
      <c r="A116" s="8" t="n">
        <v>104</v>
      </c>
      <c r="B116" s="8" t="inlineStr">
        <is>
          <t>10.1175/jcli-d-21-0810.1</t>
        </is>
      </c>
      <c r="C116" s="8" t="inlineStr">
        <is>
          <t>Changing trends in drought patterns over the northeastern United States using multiple large ensemble datasets</t>
        </is>
      </c>
      <c r="D116" s="8" t="inlineStr">
        <is>
          <t>FY22</t>
        </is>
      </c>
      <c r="E116" s="8" t="inlineStr">
        <is>
          <t>Submitted / In review</t>
        </is>
      </c>
      <c r="F116" s="8" t="inlineStr">
        <is>
          <t>ICoM 2022 Annual Report; Appendix A, PDF pp. 35–38.</t>
        </is>
      </c>
      <c r="G116" s="8" t="inlineStr">
        <is>
          <t>PNNL_ICoM_2022_Annual_Report.pdf</t>
        </is>
      </c>
      <c r="H116" s="8" t="inlineStr">
        <is>
          <t>Appendix A, PDF pp. 35–38</t>
        </is>
      </c>
    </row>
    <row r="117">
      <c r="A117" s="8" t="n">
        <v>104</v>
      </c>
      <c r="B117" s="8" t="inlineStr">
        <is>
          <t>10.1175/jcli-d-21-0810.1</t>
        </is>
      </c>
      <c r="C117" s="8" t="inlineStr">
        <is>
          <t>Changing trends in drought patterns over the northeastern United States using multiple large ensemble datasets</t>
        </is>
      </c>
      <c r="D117" s="8" t="inlineStr">
        <is>
          <t>FY23</t>
        </is>
      </c>
      <c r="E117" s="8" t="inlineStr">
        <is>
          <t>Published / Indexed</t>
        </is>
      </c>
      <c r="F117" s="8" t="inlineStr">
        <is>
          <t>ICoM 2023 Annual Report; Appendix A, PDF pp. 36–41.</t>
        </is>
      </c>
      <c r="G117" s="8" t="inlineStr">
        <is>
          <t>PNNL_ICoM_2023_Annual_Report_Final.pdf</t>
        </is>
      </c>
      <c r="H117" s="8" t="inlineStr">
        <is>
          <t>Appendix A, PDF pp. 36–41</t>
        </is>
      </c>
    </row>
    <row r="118">
      <c r="A118" s="8" t="n">
        <v>105</v>
      </c>
      <c r="B118" s="8" t="inlineStr">
        <is>
          <t>10.1007/s11069-022-05694-0</t>
        </is>
      </c>
      <c r="C118" s="8" t="inlineStr">
        <is>
          <t>Compound effects of rain, storm surge, and river discharge on coastal flooding during Hurricane Irene and Tropical Storm Lee (2011) in the Mid-Atlantic region: coupled atmosphere-wave-ocean model simulation and observations</t>
        </is>
      </c>
      <c r="D118" s="8" t="inlineStr">
        <is>
          <t>FY22</t>
        </is>
      </c>
      <c r="E118" s="8" t="inlineStr">
        <is>
          <t>Submitted / In review</t>
        </is>
      </c>
      <c r="F118" s="8" t="inlineStr">
        <is>
          <t>ICoM 2022 Annual Report; Appendix A, PDF pp. 35–38.</t>
        </is>
      </c>
      <c r="G118" s="8" t="inlineStr">
        <is>
          <t>PNNL_ICoM_2022_Annual_Report.pdf</t>
        </is>
      </c>
      <c r="H118" s="8" t="inlineStr">
        <is>
          <t>Appendix A, PDF pp. 35–38</t>
        </is>
      </c>
    </row>
    <row r="119">
      <c r="A119" s="8" t="n">
        <v>105</v>
      </c>
      <c r="B119" s="8" t="inlineStr">
        <is>
          <t>10.1007/s11069-022-05694-0</t>
        </is>
      </c>
      <c r="C119" s="8" t="inlineStr">
        <is>
          <t>Compound effects of rain, storm surge, and river discharge on coastal flooding during Hurricane Irene and Tropical Storm Lee (2011) in the Mid-Atlantic region: coupled atmosphere-wave-ocean model simulation and observations</t>
        </is>
      </c>
      <c r="D119" s="8" t="inlineStr">
        <is>
          <t>FY23</t>
        </is>
      </c>
      <c r="E119" s="8" t="inlineStr">
        <is>
          <t>Published / Indexed</t>
        </is>
      </c>
      <c r="F119" s="8" t="inlineStr">
        <is>
          <t>ICoM 2023 Annual Report; Appendix A, PDF pp. 36–41.</t>
        </is>
      </c>
      <c r="G119" s="8" t="inlineStr">
        <is>
          <t>PNNL_ICoM_2023_Annual_Report_Final.pdf</t>
        </is>
      </c>
      <c r="H119" s="8" t="inlineStr">
        <is>
          <t>Appendix A, PDF pp. 36–41</t>
        </is>
      </c>
    </row>
    <row r="120">
      <c r="A120" s="8" t="n">
        <v>106</v>
      </c>
      <c r="B120" s="8" t="inlineStr">
        <is>
          <t>10.1038/s41558-022-01388-4</t>
        </is>
      </c>
      <c r="C120" s="8" t="inlineStr">
        <is>
          <t>Declining tropical cyclone frequency under global warming</t>
        </is>
      </c>
      <c r="D120" s="8" t="inlineStr">
        <is>
          <t>FY22</t>
        </is>
      </c>
      <c r="E120" s="8" t="inlineStr">
        <is>
          <t>Submitted / In review</t>
        </is>
      </c>
      <c r="F120" s="8" t="inlineStr">
        <is>
          <t>ICoM 2022 Annual Report; Appendix A, PDF pp. 35–38.</t>
        </is>
      </c>
      <c r="G120" s="8" t="inlineStr">
        <is>
          <t>PNNL_ICoM_2022_Annual_Report.pdf</t>
        </is>
      </c>
      <c r="H120" s="8" t="inlineStr">
        <is>
          <t>Appendix A, PDF pp. 35–38</t>
        </is>
      </c>
    </row>
    <row r="121">
      <c r="A121" s="8" t="n">
        <v>106</v>
      </c>
      <c r="B121" s="8" t="inlineStr">
        <is>
          <t>10.1038/s41558-022-01388-4</t>
        </is>
      </c>
      <c r="C121" s="8" t="inlineStr">
        <is>
          <t>Declining tropical cyclone frequency under global warming</t>
        </is>
      </c>
      <c r="D121" s="8" t="inlineStr">
        <is>
          <t>FY23</t>
        </is>
      </c>
      <c r="E121" s="8" t="inlineStr">
        <is>
          <t>Published / Indexed</t>
        </is>
      </c>
      <c r="F121" s="8" t="inlineStr">
        <is>
          <t>ICoM 2023 Annual Report; Appendix A, PDF pp. 36–41.</t>
        </is>
      </c>
      <c r="G121" s="8" t="inlineStr">
        <is>
          <t>PNNL_ICoM_2023_Annual_Report_Final.pdf</t>
        </is>
      </c>
      <c r="H121" s="8" t="inlineStr">
        <is>
          <t>Appendix A, PDF pp. 36–41</t>
        </is>
      </c>
    </row>
    <row r="122">
      <c r="A122" s="8" t="n">
        <v>107</v>
      </c>
      <c r="B122" s="8" t="inlineStr">
        <is>
          <t>10.1029/2021ms002772</t>
        </is>
      </c>
      <c r="C122" s="8" t="inlineStr">
        <is>
          <t>Development of land-river two-way hydrologic coupling for floodplain inundation in the Energy Exascale Earth System Model</t>
        </is>
      </c>
      <c r="D122" s="8" t="inlineStr">
        <is>
          <t>FY22</t>
        </is>
      </c>
      <c r="E122" s="8" t="inlineStr">
        <is>
          <t>Accepted / In press</t>
        </is>
      </c>
      <c r="F122" s="8" t="inlineStr">
        <is>
          <t>ICoM 2022 Annual Report; Appendix A, PDF pp. 35–38.</t>
        </is>
      </c>
      <c r="G122" s="8" t="inlineStr">
        <is>
          <t>PNNL_ICoM_2022_Annual_Report.pdf</t>
        </is>
      </c>
      <c r="H122" s="8" t="inlineStr">
        <is>
          <t>Appendix A, PDF pp. 35–38</t>
        </is>
      </c>
    </row>
    <row r="123">
      <c r="A123" s="8" t="n">
        <v>107</v>
      </c>
      <c r="B123" s="8" t="inlineStr">
        <is>
          <t>10.1029/2021ms002772</t>
        </is>
      </c>
      <c r="C123" s="8" t="inlineStr">
        <is>
          <t>Development of land-river two-way hydrologic coupling for floodplain inundation in the Energy Exascale Earth System Model</t>
        </is>
      </c>
      <c r="D123" s="8" t="inlineStr">
        <is>
          <t>FY23</t>
        </is>
      </c>
      <c r="E123" s="8" t="inlineStr">
        <is>
          <t>Published / Indexed</t>
        </is>
      </c>
      <c r="F123" s="8" t="inlineStr">
        <is>
          <t>ICoM 2023 Annual Report; Appendix A, PDF pp. 36–41.</t>
        </is>
      </c>
      <c r="G123" s="8" t="inlineStr">
        <is>
          <t>PNNL_ICoM_2023_Annual_Report_Final.pdf</t>
        </is>
      </c>
      <c r="H123" s="8" t="inlineStr">
        <is>
          <t>Appendix A, PDF pp. 36–41</t>
        </is>
      </c>
    </row>
    <row r="124">
      <c r="A124" s="8" t="n">
        <v>109</v>
      </c>
      <c r="B124" s="8" t="inlineStr">
        <is>
          <t>10.3390/cli10090130</t>
        </is>
      </c>
      <c r="C124" s="8" t="inlineStr">
        <is>
          <t>Evaluating the Influence of CAM5 Aerosol Configuration on Simulated Tropical Cyclones in the North Atlantic</t>
        </is>
      </c>
      <c r="D124" s="8" t="inlineStr">
        <is>
          <t>FY23</t>
        </is>
      </c>
      <c r="E124" s="8" t="inlineStr">
        <is>
          <t>Published / Indexed</t>
        </is>
      </c>
      <c r="F124" s="8" t="inlineStr">
        <is>
          <t>ICoM 2023 Annual Report; Appendix A, PDF pp. 36–41.</t>
        </is>
      </c>
      <c r="G124" s="8" t="inlineStr">
        <is>
          <t>PNNL_ICoM_2023_Annual_Report_Final.pdf</t>
        </is>
      </c>
      <c r="H124" s="8" t="inlineStr">
        <is>
          <t>Appendix A, PDF pp. 36–41</t>
        </is>
      </c>
    </row>
    <row r="125">
      <c r="A125" s="8" t="n">
        <v>110</v>
      </c>
      <c r="B125" s="8" t="inlineStr">
        <is>
          <t>10.1029/2022ms003207</t>
        </is>
      </c>
      <c r="C125" s="8" t="inlineStr">
        <is>
          <t>Global barotropic tide modeling using inline self-attraction and loading in MPAS-Ocean</t>
        </is>
      </c>
      <c r="D125" s="8" t="inlineStr">
        <is>
          <t>FY22</t>
        </is>
      </c>
      <c r="E125" s="8" t="inlineStr">
        <is>
          <t>Submitted / In review</t>
        </is>
      </c>
      <c r="F125" s="8" t="inlineStr">
        <is>
          <t>ICoM 2022 Annual Report; Appendix A, PDF pp. 35–38.</t>
        </is>
      </c>
      <c r="G125" s="8" t="inlineStr">
        <is>
          <t>PNNL_ICoM_2022_Annual_Report.pdf</t>
        </is>
      </c>
      <c r="H125" s="8" t="inlineStr">
        <is>
          <t>Appendix A, PDF pp. 35–38</t>
        </is>
      </c>
    </row>
    <row r="126">
      <c r="A126" s="8" t="n">
        <v>110</v>
      </c>
      <c r="B126" s="8" t="inlineStr">
        <is>
          <t>10.1029/2022ms003207</t>
        </is>
      </c>
      <c r="C126" s="8" t="inlineStr">
        <is>
          <t>Global barotropic tide modeling using inline self-attraction and loading in MPAS-Ocean</t>
        </is>
      </c>
      <c r="D126" s="8" t="inlineStr">
        <is>
          <t>FY23</t>
        </is>
      </c>
      <c r="E126" s="8" t="inlineStr">
        <is>
          <t>Published / Indexed</t>
        </is>
      </c>
      <c r="F126" s="8" t="inlineStr">
        <is>
          <t>ICoM 2023 Annual Report; Appendix A, PDF pp. 36–41.</t>
        </is>
      </c>
      <c r="G126" s="8" t="inlineStr">
        <is>
          <t>PNNL_ICoM_2023_Annual_Report_Final.pdf</t>
        </is>
      </c>
      <c r="H126" s="8" t="inlineStr">
        <is>
          <t>Appendix A, PDF pp. 36–41</t>
        </is>
      </c>
    </row>
    <row r="127">
      <c r="A127" s="8" t="n">
        <v>111</v>
      </c>
      <c r="B127" s="8" t="inlineStr">
        <is>
          <t>10.1029/2021wr030333</t>
        </is>
      </c>
      <c r="C127" s="8" t="inlineStr">
        <is>
          <t>Impact of coastal marsh eco-geomorphologic change on saltwater intrusion under future sea level rise</t>
        </is>
      </c>
      <c r="D127" s="8" t="inlineStr">
        <is>
          <t>FY22</t>
        </is>
      </c>
      <c r="E127" s="8" t="inlineStr">
        <is>
          <t>Published / Indexed</t>
        </is>
      </c>
      <c r="F127" s="8" t="inlineStr">
        <is>
          <t>ICoM 2022 Annual Report; Appendix A, PDF pp. 35–38.</t>
        </is>
      </c>
      <c r="G127" s="8" t="inlineStr">
        <is>
          <t>PNNL_ICoM_2022_Annual_Report.pdf</t>
        </is>
      </c>
      <c r="H127" s="8" t="inlineStr">
        <is>
          <t>Appendix A, PDF pp. 35–38</t>
        </is>
      </c>
    </row>
    <row r="128">
      <c r="A128" s="8" t="n">
        <v>112</v>
      </c>
      <c r="B128" s="8" t="inlineStr">
        <is>
          <t>10.1029/2022gl098187</t>
        </is>
      </c>
      <c r="C128" s="8" t="inlineStr">
        <is>
          <t>Impact of Rainfall on Tropical Cyclone-Induced Sea Surface Cooling</t>
        </is>
      </c>
      <c r="D128" s="8" t="inlineStr">
        <is>
          <t>FY22</t>
        </is>
      </c>
      <c r="E128" s="8" t="inlineStr">
        <is>
          <t>Published / Indexed</t>
        </is>
      </c>
      <c r="F128" s="8" t="inlineStr">
        <is>
          <t>ICoM 2022 Annual Report; Appendix A, PDF pp. 35–38.</t>
        </is>
      </c>
      <c r="G128" s="8" t="inlineStr">
        <is>
          <t>PNNL_ICoM_2022_Annual_Report.pdf</t>
        </is>
      </c>
      <c r="H128" s="8" t="inlineStr">
        <is>
          <t>Appendix A, PDF pp. 35–38</t>
        </is>
      </c>
    </row>
    <row r="129">
      <c r="A129" s="8" t="n">
        <v>113</v>
      </c>
      <c r="B129" s="8" t="inlineStr">
        <is>
          <t>10.1029/2022gl097845</t>
        </is>
      </c>
      <c r="C129" s="8" t="inlineStr">
        <is>
          <t>Impacts of large-scale urbanization and irrigation on summer precipitation in the Mid-Atlantic region of the United States</t>
        </is>
      </c>
      <c r="D129" s="8" t="inlineStr">
        <is>
          <t>FY22</t>
        </is>
      </c>
      <c r="E129" s="8" t="inlineStr">
        <is>
          <t>Published / Indexed</t>
        </is>
      </c>
      <c r="F129" s="8" t="inlineStr">
        <is>
          <t>ICoM 2022 Annual Report; Appendix A, PDF pp. 35–38.</t>
        </is>
      </c>
      <c r="G129" s="8" t="inlineStr">
        <is>
          <t>PNNL_ICoM_2022_Annual_Report.pdf</t>
        </is>
      </c>
      <c r="H129" s="8" t="inlineStr">
        <is>
          <t>Appendix A, PDF pp. 35–38</t>
        </is>
      </c>
    </row>
    <row r="130">
      <c r="A130" s="8" t="n">
        <v>114</v>
      </c>
      <c r="B130" s="8" t="inlineStr">
        <is>
          <t>10.1029/2022gl099793</t>
        </is>
      </c>
      <c r="C130" s="8" t="inlineStr">
        <is>
          <t>Increasing hurricane intensification rate near the US Atlantic coast</t>
        </is>
      </c>
      <c r="D130" s="8" t="inlineStr">
        <is>
          <t>FY22</t>
        </is>
      </c>
      <c r="E130" s="8" t="inlineStr">
        <is>
          <t>Submitted / In review</t>
        </is>
      </c>
      <c r="F130" s="8" t="inlineStr">
        <is>
          <t>ICoM 2022 Annual Report; Appendix A, PDF pp. 35–38.</t>
        </is>
      </c>
      <c r="G130" s="8" t="inlineStr">
        <is>
          <t>PNNL_ICoM_2022_Annual_Report.pdf</t>
        </is>
      </c>
      <c r="H130" s="8" t="inlineStr">
        <is>
          <t>Appendix A, PDF pp. 35–38</t>
        </is>
      </c>
    </row>
    <row r="131">
      <c r="A131" s="8" t="n">
        <v>114</v>
      </c>
      <c r="B131" s="8" t="inlineStr">
        <is>
          <t>10.1029/2022gl099793</t>
        </is>
      </c>
      <c r="C131" s="8" t="inlineStr">
        <is>
          <t>Increasing hurricane intensification rate near the US Atlantic coast</t>
        </is>
      </c>
      <c r="D131" s="8" t="inlineStr">
        <is>
          <t>FY23</t>
        </is>
      </c>
      <c r="E131" s="8" t="inlineStr">
        <is>
          <t>Published / Indexed</t>
        </is>
      </c>
      <c r="F131" s="8" t="inlineStr">
        <is>
          <t>ICoM 2023 Annual Report; Appendix A, PDF pp. 36–41.</t>
        </is>
      </c>
      <c r="G131" s="8" t="inlineStr">
        <is>
          <t>PNNL_ICoM_2023_Annual_Report_Final.pdf</t>
        </is>
      </c>
      <c r="H131" s="8" t="inlineStr">
        <is>
          <t>Appendix A, PDF pp. 36–41</t>
        </is>
      </c>
    </row>
    <row r="132">
      <c r="A132" s="8" t="n">
        <v>115</v>
      </c>
      <c r="B132" s="8" t="inlineStr">
        <is>
          <t>10.5194/hess-26-5473-2022</t>
        </is>
      </c>
      <c r="C132" s="8" t="inlineStr">
        <is>
          <t>Investigating coastal backwater effects and flooding in the coastal zone using a global river transport model on an unstructured mesh</t>
        </is>
      </c>
      <c r="D132" s="8" t="inlineStr">
        <is>
          <t>FY23</t>
        </is>
      </c>
      <c r="E132" s="8" t="inlineStr">
        <is>
          <t>Published / Indexed</t>
        </is>
      </c>
      <c r="F132" s="8" t="inlineStr">
        <is>
          <t>ICoM 2023 Annual Report; Appendix A, PDF pp. 36–41.</t>
        </is>
      </c>
      <c r="G132" s="8" t="inlineStr">
        <is>
          <t>PNNL_ICoM_2023_Annual_Report_Final.pdf</t>
        </is>
      </c>
      <c r="H132" s="8" t="inlineStr">
        <is>
          <t>Appendix A, PDF pp. 36–41</t>
        </is>
      </c>
    </row>
    <row r="133">
      <c r="A133" s="8" t="n">
        <v>116</v>
      </c>
      <c r="B133" s="8" t="inlineStr">
        <is>
          <t>10.1016/j.compenvurbsys.2022.101899</t>
        </is>
      </c>
      <c r="C133" s="8" t="inlineStr">
        <is>
          <t>Landscape metrics regularly outperform other traditionally-used ancillary datasets in dasymetric mapping of population</t>
        </is>
      </c>
      <c r="D133" s="8" t="inlineStr">
        <is>
          <t>FY22</t>
        </is>
      </c>
      <c r="E133" s="8" t="inlineStr">
        <is>
          <t>Submitted / In review</t>
        </is>
      </c>
      <c r="F133" s="8" t="inlineStr">
        <is>
          <t>ICoM 2022 Annual Report; Appendix A, PDF pp. 35–38.</t>
        </is>
      </c>
      <c r="G133" s="8" t="inlineStr">
        <is>
          <t>PNNL_ICoM_2022_Annual_Report.pdf</t>
        </is>
      </c>
      <c r="H133" s="8" t="inlineStr">
        <is>
          <t>Appendix A, PDF pp. 35–38</t>
        </is>
      </c>
    </row>
    <row r="134">
      <c r="A134" s="8" t="n">
        <v>116</v>
      </c>
      <c r="B134" s="8" t="inlineStr">
        <is>
          <t>10.1016/j.compenvurbsys.2022.101899</t>
        </is>
      </c>
      <c r="C134" s="8" t="inlineStr">
        <is>
          <t>Landscape metrics regularly outperform other traditionally-used ancillary datasets in dasymetric mapping of population</t>
        </is>
      </c>
      <c r="D134" s="8" t="inlineStr">
        <is>
          <t>FY23</t>
        </is>
      </c>
      <c r="E134" s="8" t="inlineStr">
        <is>
          <t>Published / Indexed</t>
        </is>
      </c>
      <c r="F134" s="8" t="inlineStr">
        <is>
          <t>ICoM 2023 Annual Report; Appendix A, PDF pp. 36–41.</t>
        </is>
      </c>
      <c r="G134" s="8" t="inlineStr">
        <is>
          <t>PNNL_ICoM_2023_Annual_Report_Final.pdf</t>
        </is>
      </c>
      <c r="H134" s="8" t="inlineStr">
        <is>
          <t>Appendix A, PDF pp. 36–41</t>
        </is>
      </c>
    </row>
    <row r="135">
      <c r="A135" s="8" t="n">
        <v>117</v>
      </c>
      <c r="B135" s="8" t="inlineStr">
        <is>
          <t>10.1175/jpo-d-22-0004.1</t>
        </is>
      </c>
      <c r="C135" s="8" t="inlineStr">
        <is>
          <t>Mixing driven by critical reflection of near-inertial waves over the Texas-Louisiana shelf</t>
        </is>
      </c>
      <c r="D135" s="8" t="inlineStr">
        <is>
          <t>FY23</t>
        </is>
      </c>
      <c r="E135" s="8" t="inlineStr">
        <is>
          <t>Accepted / In press</t>
        </is>
      </c>
      <c r="F135" s="8" t="inlineStr">
        <is>
          <t>ICoM 2023 Annual Report; Appendix A, PDF pp. 36–41.</t>
        </is>
      </c>
      <c r="G135" s="8" t="inlineStr">
        <is>
          <t>PNNL_ICoM_2023_Annual_Report_Final.pdf</t>
        </is>
      </c>
      <c r="H135" s="8" t="inlineStr">
        <is>
          <t>Appendix A, PDF pp. 36–41</t>
        </is>
      </c>
    </row>
    <row r="136">
      <c r="A136" s="8" t="n">
        <v>118</v>
      </c>
      <c r="B136" s="8" t="inlineStr">
        <is>
          <t>10.1175/jpo-d-22-0074.1</t>
        </is>
      </c>
      <c r="C136" s="8" t="inlineStr">
        <is>
          <t>Mixing pathways in simple box models</t>
        </is>
      </c>
      <c r="D136" s="8" t="inlineStr">
        <is>
          <t>FY22</t>
        </is>
      </c>
      <c r="E136" s="8" t="inlineStr">
        <is>
          <t>Submitted / In review</t>
        </is>
      </c>
      <c r="F136" s="8" t="inlineStr">
        <is>
          <t>ICoM 2022 Annual Report; Appendix A, PDF pp. 35–38.</t>
        </is>
      </c>
      <c r="G136" s="8" t="inlineStr">
        <is>
          <t>PNNL_ICoM_2022_Annual_Report.pdf</t>
        </is>
      </c>
      <c r="H136" s="8" t="inlineStr">
        <is>
          <t>Appendix A, PDF pp. 35–38</t>
        </is>
      </c>
    </row>
    <row r="137">
      <c r="A137" s="8" t="n">
        <v>118</v>
      </c>
      <c r="B137" s="8" t="inlineStr">
        <is>
          <t>10.1175/jpo-d-22-0074.1</t>
        </is>
      </c>
      <c r="C137" s="8" t="inlineStr">
        <is>
          <t>Mixing pathways in simple box models</t>
        </is>
      </c>
      <c r="D137" s="8" t="inlineStr">
        <is>
          <t>FY23</t>
        </is>
      </c>
      <c r="E137" s="8" t="inlineStr">
        <is>
          <t>Accepted / In press</t>
        </is>
      </c>
      <c r="F137" s="8" t="inlineStr">
        <is>
          <t>ICoM 2023 Annual Report; Appendix A, PDF pp. 36–41.</t>
        </is>
      </c>
      <c r="G137" s="8" t="inlineStr">
        <is>
          <t>PNNL_ICoM_2023_Annual_Report_Final.pdf</t>
        </is>
      </c>
      <c r="H137" s="8" t="inlineStr">
        <is>
          <t>Appendix A, PDF pp. 36–41</t>
        </is>
      </c>
    </row>
    <row r="138">
      <c r="A138" s="8" t="n">
        <v>119</v>
      </c>
      <c r="B138" s="8" t="inlineStr">
        <is>
          <t>10.1371/journal.pclm.0000013</t>
        </is>
      </c>
      <c r="C138" s="8" t="inlineStr">
        <is>
          <t>Operational extreme weather event attribution can quantify climate change loss and damages</t>
        </is>
      </c>
      <c r="D138" s="8" t="inlineStr">
        <is>
          <t>FY22</t>
        </is>
      </c>
      <c r="E138" s="8" t="inlineStr">
        <is>
          <t>Published / Indexed</t>
        </is>
      </c>
      <c r="F138" s="8" t="inlineStr">
        <is>
          <t>ICoM 2022 Annual Report; Appendix A, PDF pp. 35–38.</t>
        </is>
      </c>
      <c r="G138" s="8" t="inlineStr">
        <is>
          <t>PNNL_ICoM_2022_Annual_Report.pdf</t>
        </is>
      </c>
      <c r="H138" s="8" t="inlineStr">
        <is>
          <t>Appendix A, PDF pp. 35–38</t>
        </is>
      </c>
    </row>
    <row r="139">
      <c r="A139" s="8" t="n">
        <v>120</v>
      </c>
      <c r="B139" s="8" t="inlineStr">
        <is>
          <t>10.1038/s41467-022-33251-7</t>
        </is>
      </c>
      <c r="C139" s="8" t="inlineStr">
        <is>
          <t>Rapid vertical exchange at fronts in the northern Gulf of Mexico</t>
        </is>
      </c>
      <c r="D139" s="8" t="inlineStr">
        <is>
          <t>FY22</t>
        </is>
      </c>
      <c r="E139" s="8" t="inlineStr">
        <is>
          <t>Submitted / In review</t>
        </is>
      </c>
      <c r="F139" s="8" t="inlineStr">
        <is>
          <t>ICoM 2022 Annual Report; Appendix A, PDF pp. 35–38.</t>
        </is>
      </c>
      <c r="G139" s="8" t="inlineStr">
        <is>
          <t>PNNL_ICoM_2022_Annual_Report.pdf</t>
        </is>
      </c>
      <c r="H139" s="8" t="inlineStr">
        <is>
          <t>Appendix A, PDF pp. 35–38</t>
        </is>
      </c>
    </row>
    <row r="140">
      <c r="A140" s="8" t="n">
        <v>120</v>
      </c>
      <c r="B140" s="8" t="inlineStr">
        <is>
          <t>10.1038/s41467-022-33251-7</t>
        </is>
      </c>
      <c r="C140" s="8" t="inlineStr">
        <is>
          <t>Rapid vertical exchange at fronts in the northern Gulf of Mexico</t>
        </is>
      </c>
      <c r="D140" s="8" t="inlineStr">
        <is>
          <t>FY23</t>
        </is>
      </c>
      <c r="E140" s="8" t="inlineStr">
        <is>
          <t>Submitted / In review</t>
        </is>
      </c>
      <c r="F140" s="8" t="inlineStr">
        <is>
          <t>ICoM 2023 Annual Report; Appendix A, PDF pp. 36–41.</t>
        </is>
      </c>
      <c r="G140" s="8" t="inlineStr">
        <is>
          <t>PNNL_ICoM_2023_Annual_Report_Final.pdf</t>
        </is>
      </c>
      <c r="H140" s="8" t="inlineStr">
        <is>
          <t>Appendix A, PDF pp. 36–41</t>
        </is>
      </c>
    </row>
    <row r="141">
      <c r="A141" s="8" t="n">
        <v>121</v>
      </c>
      <c r="B141" s="8" t="inlineStr">
        <is>
          <t>10.1029/2022jd037493</t>
        </is>
      </c>
      <c r="C141" s="8" t="inlineStr">
        <is>
          <t>Roles of external forcing and internal variability in precipitation changes of a sub-region of the U.S. mid-Atlantic during 1979-2019</t>
        </is>
      </c>
      <c r="D141" s="8" t="inlineStr">
        <is>
          <t>FY22</t>
        </is>
      </c>
      <c r="E141" s="8" t="inlineStr">
        <is>
          <t>Submitted / In review</t>
        </is>
      </c>
      <c r="F141" s="8" t="inlineStr">
        <is>
          <t>ICoM 2022 Annual Report; Appendix A, PDF pp. 35–38.</t>
        </is>
      </c>
      <c r="G141" s="8" t="inlineStr">
        <is>
          <t>PNNL_ICoM_2022_Annual_Report.pdf</t>
        </is>
      </c>
      <c r="H141" s="8" t="inlineStr">
        <is>
          <t>Appendix A, PDF pp. 35–38</t>
        </is>
      </c>
    </row>
    <row r="142">
      <c r="A142" s="8" t="n">
        <v>121</v>
      </c>
      <c r="B142" s="8" t="inlineStr">
        <is>
          <t>10.1029/2022jd037493</t>
        </is>
      </c>
      <c r="C142" s="8" t="inlineStr">
        <is>
          <t>Roles of external forcing and internal variability in precipitation changes of a sub-region of the U.S. mid-Atlantic during 1979-2019</t>
        </is>
      </c>
      <c r="D142" s="8" t="inlineStr">
        <is>
          <t>FY23</t>
        </is>
      </c>
      <c r="E142" s="8" t="inlineStr">
        <is>
          <t>Published / Indexed</t>
        </is>
      </c>
      <c r="F142" s="8" t="inlineStr">
        <is>
          <t>ICoM 2023 Annual Report; Appendix A, PDF pp. 36–41.</t>
        </is>
      </c>
      <c r="G142" s="8" t="inlineStr">
        <is>
          <t>PNNL_ICoM_2023_Annual_Report_Final.pdf</t>
        </is>
      </c>
      <c r="H142" s="8" t="inlineStr">
        <is>
          <t>Appendix A, PDF pp. 36–41</t>
        </is>
      </c>
    </row>
    <row r="143">
      <c r="A143" s="8" t="n">
        <v>123</v>
      </c>
      <c r="B143" s="8" t="inlineStr">
        <is>
          <t>10.1038/s41467-022-31056-2</t>
        </is>
      </c>
      <c r="C143" s="8" t="inlineStr">
        <is>
          <t>Social inequalities in climate change-attributed impacts of hurricane Harvey</t>
        </is>
      </c>
      <c r="D143" s="8" t="inlineStr">
        <is>
          <t>FY22</t>
        </is>
      </c>
      <c r="E143" s="8" t="inlineStr">
        <is>
          <t>Submitted / In review</t>
        </is>
      </c>
      <c r="F143" s="8" t="inlineStr">
        <is>
          <t>ICoM 2022 Annual Report; Appendix A, PDF pp. 35–38.</t>
        </is>
      </c>
      <c r="G143" s="8" t="inlineStr">
        <is>
          <t>PNNL_ICoM_2022_Annual_Report.pdf</t>
        </is>
      </c>
      <c r="H143" s="8" t="inlineStr">
        <is>
          <t>Appendix A, PDF pp. 35–38</t>
        </is>
      </c>
    </row>
    <row r="144">
      <c r="A144" s="8" t="n">
        <v>123</v>
      </c>
      <c r="B144" s="8" t="inlineStr">
        <is>
          <t>10.1038/s41467-022-31056-2</t>
        </is>
      </c>
      <c r="C144" s="8" t="inlineStr">
        <is>
          <t>Social inequalities in climate change-attributed impacts of hurricane Harvey</t>
        </is>
      </c>
      <c r="D144" s="8" t="inlineStr">
        <is>
          <t>FY23</t>
        </is>
      </c>
      <c r="E144" s="8" t="inlineStr">
        <is>
          <t>Published / Indexed</t>
        </is>
      </c>
      <c r="F144" s="8" t="inlineStr">
        <is>
          <t>ICoM 2023 Annual Report; Appendix A, PDF pp. 36–41.</t>
        </is>
      </c>
      <c r="G144" s="8" t="inlineStr">
        <is>
          <t>PNNL_ICoM_2023_Annual_Report_Final.pdf</t>
        </is>
      </c>
      <c r="H144" s="8" t="inlineStr">
        <is>
          <t>Appendix A, PDF pp. 36–41</t>
        </is>
      </c>
    </row>
    <row r="145">
      <c r="A145" s="8" t="n">
        <v>124</v>
      </c>
      <c r="B145" s="8" t="inlineStr">
        <is>
          <t>10.5194/gmd-15-5489-2022</t>
        </is>
      </c>
      <c r="C145" s="8" t="inlineStr">
        <is>
          <t>Spatial heterogeneity effects on land surface modeling of water and energy partitioning</t>
        </is>
      </c>
      <c r="D145" s="8" t="inlineStr">
        <is>
          <t>FY22</t>
        </is>
      </c>
      <c r="E145" s="8" t="inlineStr">
        <is>
          <t>Accepted / In press</t>
        </is>
      </c>
      <c r="F145" s="8" t="inlineStr">
        <is>
          <t>ICoM 2022 Annual Report; Appendix A, PDF pp. 35–38.</t>
        </is>
      </c>
      <c r="G145" s="8" t="inlineStr">
        <is>
          <t>PNNL_ICoM_2022_Annual_Report.pdf</t>
        </is>
      </c>
      <c r="H145" s="8" t="inlineStr">
        <is>
          <t>Appendix A, PDF pp. 35–38</t>
        </is>
      </c>
    </row>
    <row r="146">
      <c r="A146" s="8" t="n">
        <v>124</v>
      </c>
      <c r="B146" s="8" t="inlineStr">
        <is>
          <t>10.5194/gmd-15-5489-2022</t>
        </is>
      </c>
      <c r="C146" s="8" t="inlineStr">
        <is>
          <t>Spatial heterogeneity effects on land surface modeling of water and energy partitioning</t>
        </is>
      </c>
      <c r="D146" s="8" t="inlineStr">
        <is>
          <t>FY23</t>
        </is>
      </c>
      <c r="E146" s="8" t="inlineStr">
        <is>
          <t>Published / Indexed</t>
        </is>
      </c>
      <c r="F146" s="8" t="inlineStr">
        <is>
          <t>ICoM 2023 Annual Report; Appendix A, PDF pp. 36–41.</t>
        </is>
      </c>
      <c r="G146" s="8" t="inlineStr">
        <is>
          <t>PNNL_ICoM_2023_Annual_Report_Final.pdf</t>
        </is>
      </c>
      <c r="H146" s="8" t="inlineStr">
        <is>
          <t>Appendix A, PDF pp. 36–41</t>
        </is>
      </c>
    </row>
    <row r="147">
      <c r="A147" s="8" t="n">
        <v>126</v>
      </c>
      <c r="B147" s="8" t="inlineStr">
        <is>
          <t>10.1029/2022ef003093</t>
        </is>
      </c>
      <c r="C147" s="8" t="inlineStr">
        <is>
          <t>Toward more actionable flood-risk information</t>
        </is>
      </c>
      <c r="D147" s="8" t="inlineStr">
        <is>
          <t>FY22</t>
        </is>
      </c>
      <c r="E147" s="8" t="inlineStr">
        <is>
          <t>Submitted / In review</t>
        </is>
      </c>
      <c r="F147" s="8" t="inlineStr">
        <is>
          <t>ICoM 2022 Annual Report; Appendix A, PDF pp. 35–38.</t>
        </is>
      </c>
      <c r="G147" s="8" t="inlineStr">
        <is>
          <t>PNNL_ICoM_2022_Annual_Report.pdf</t>
        </is>
      </c>
      <c r="H147" s="8" t="inlineStr">
        <is>
          <t>Appendix A, PDF pp. 35–38</t>
        </is>
      </c>
    </row>
    <row r="148">
      <c r="A148" s="8" t="n">
        <v>126</v>
      </c>
      <c r="B148" s="8" t="inlineStr">
        <is>
          <t>10.1029/2022ef003093</t>
        </is>
      </c>
      <c r="C148" s="8" t="inlineStr">
        <is>
          <t>Toward more actionable flood-risk information</t>
        </is>
      </c>
      <c r="D148" s="8" t="inlineStr">
        <is>
          <t>FY23</t>
        </is>
      </c>
      <c r="E148" s="8" t="inlineStr">
        <is>
          <t>Published / Indexed</t>
        </is>
      </c>
      <c r="F148" s="8" t="inlineStr">
        <is>
          <t>ICoM 2023 Annual Report; Appendix A, PDF pp. 36–41.</t>
        </is>
      </c>
      <c r="G148" s="8" t="inlineStr">
        <is>
          <t>PNNL_ICoM_2023_Annual_Report_Final.pdf</t>
        </is>
      </c>
      <c r="H148" s="8" t="inlineStr">
        <is>
          <t>Appendix A, PDF pp. 36–41</t>
        </is>
      </c>
    </row>
    <row r="149">
      <c r="A149" s="8" t="n">
        <v>127</v>
      </c>
      <c r="B149" s="8" t="inlineStr">
        <is>
          <t>10.1029/2021ef002644</t>
        </is>
      </c>
      <c r="C149" s="8" t="inlineStr">
        <is>
          <t>Uncertainty analysis in multi-sector systems: Considerations for risk analysis, projection, and planning for complex systems</t>
        </is>
      </c>
      <c r="D149" s="8" t="inlineStr">
        <is>
          <t>FY23</t>
        </is>
      </c>
      <c r="E149" s="8" t="inlineStr">
        <is>
          <t>Published / Indexed</t>
        </is>
      </c>
      <c r="F149" s="8" t="inlineStr">
        <is>
          <t>ICoM 2023 Annual Report; Appendix A, PDF pp. 36–41.</t>
        </is>
      </c>
      <c r="G149" s="8" t="inlineStr">
        <is>
          <t>PNNL_ICoM_2023_Annual_Report_Final.pdf</t>
        </is>
      </c>
      <c r="H149" s="8" t="inlineStr">
        <is>
          <t>Appendix A, PDF pp. 36–41</t>
        </is>
      </c>
    </row>
    <row r="150">
      <c r="A150" s="8" t="n">
        <v>128</v>
      </c>
      <c r="B150" s="8" t="inlineStr">
        <is>
          <t>10.1007/s00376-021-1371-9</t>
        </is>
      </c>
      <c r="C150" s="8" t="inlineStr">
        <is>
          <t>Urbanization impact on regional climate and extreme weather: current understanding, uncertainties, and future research directions</t>
        </is>
      </c>
      <c r="D150" s="8" t="inlineStr">
        <is>
          <t>FY22</t>
        </is>
      </c>
      <c r="E150" s="8" t="inlineStr">
        <is>
          <t>Published / Indexed</t>
        </is>
      </c>
      <c r="F150" s="8" t="inlineStr">
        <is>
          <t>ICoM 2022 Annual Report; Appendix A, PDF pp. 35–38.</t>
        </is>
      </c>
      <c r="G150" s="8" t="inlineStr">
        <is>
          <t>PNNL_ICoM_2022_Annual_Report.pdf</t>
        </is>
      </c>
      <c r="H150" s="8" t="inlineStr">
        <is>
          <t>Appendix A, PDF pp. 35–38</t>
        </is>
      </c>
    </row>
    <row r="151">
      <c r="A151" s="8" t="n">
        <v>129</v>
      </c>
      <c r="B151" s="8" t="inlineStr">
        <is>
          <t>10.5194/gmd-15-5021-2022</t>
        </is>
      </c>
      <c r="C151" s="8" t="inlineStr">
        <is>
          <t>Using a surrogate-assisted Bayesian framework to calibrate the runoff-generation scheme in the Energy Exascale Earth System Model (E3SM) v1</t>
        </is>
      </c>
      <c r="D151" s="8" t="inlineStr">
        <is>
          <t>FY22</t>
        </is>
      </c>
      <c r="E151" s="8" t="inlineStr">
        <is>
          <t>Accepted / In press</t>
        </is>
      </c>
      <c r="F151" s="8" t="inlineStr">
        <is>
          <t>ICoM 2022 Annual Report; Appendix A, PDF pp. 35–38.</t>
        </is>
      </c>
      <c r="G151" s="8" t="inlineStr">
        <is>
          <t>PNNL_ICoM_2022_Annual_Report.pdf</t>
        </is>
      </c>
      <c r="H151" s="8" t="inlineStr">
        <is>
          <t>Appendix A, PDF pp. 35–38</t>
        </is>
      </c>
    </row>
    <row r="152">
      <c r="A152" s="8" t="n">
        <v>129</v>
      </c>
      <c r="B152" s="8" t="inlineStr">
        <is>
          <t>10.5194/gmd-15-5021-2022</t>
        </is>
      </c>
      <c r="C152" s="8" t="inlineStr">
        <is>
          <t>Using a surrogate-assisted Bayesian framework to calibrate the runoff-generation scheme in the Energy Exascale Earth System Model (E3SM) v1</t>
        </is>
      </c>
      <c r="D152" s="8" t="inlineStr">
        <is>
          <t>FY23</t>
        </is>
      </c>
      <c r="E152" s="8" t="inlineStr">
        <is>
          <t>Published / Indexed</t>
        </is>
      </c>
      <c r="F152" s="8" t="inlineStr">
        <is>
          <t>ICoM 2023 Annual Report; Appendix A, PDF pp. 36–41.</t>
        </is>
      </c>
      <c r="G152" s="8" t="inlineStr">
        <is>
          <t>PNNL_ICoM_2023_Annual_Report_Final.pdf</t>
        </is>
      </c>
      <c r="H152" s="8" t="inlineStr">
        <is>
          <t>Appendix A, PDF pp. 36–41</t>
        </is>
      </c>
    </row>
    <row r="153">
      <c r="A153" s="8" t="n">
        <v>130</v>
      </c>
      <c r="B153" s="8" t="inlineStr">
        <is>
          <t>10.1175/jhm-d-20-0314.1</t>
        </is>
      </c>
      <c r="C153" s="8" t="inlineStr">
        <is>
          <t>A comprehensive intermediate-term drought evaluation system and evaluation of climate data products over the conterminous United States</t>
        </is>
      </c>
      <c r="D153" s="8" t="inlineStr">
        <is>
          <t>FY21</t>
        </is>
      </c>
      <c r="E153" s="8" t="inlineStr">
        <is>
          <t>Submitted / In review</t>
        </is>
      </c>
      <c r="F153" s="8" t="inlineStr">
        <is>
          <t>ICoM 2021 Annual Report; Appendix A, PDF pp. 35–36.</t>
        </is>
      </c>
      <c r="G153" s="8" t="inlineStr">
        <is>
          <t>ICoM_2021_Annual_Report_FINAL.pdf</t>
        </is>
      </c>
      <c r="H153" s="8" t="inlineStr">
        <is>
          <t>Appendix A, PDF pp. 35–36</t>
        </is>
      </c>
    </row>
    <row r="154">
      <c r="A154" s="8" t="n">
        <v>130</v>
      </c>
      <c r="B154" s="8" t="inlineStr">
        <is>
          <t>10.1175/jhm-d-20-0314.1</t>
        </is>
      </c>
      <c r="C154" s="8" t="inlineStr">
        <is>
          <t>A comprehensive intermediate-term drought evaluation system and evaluation of climate data products over the conterminous United States</t>
        </is>
      </c>
      <c r="D154" s="8" t="inlineStr">
        <is>
          <t>FY22</t>
        </is>
      </c>
      <c r="E154" s="8" t="inlineStr">
        <is>
          <t>Published / Indexed</t>
        </is>
      </c>
      <c r="F154" s="8" t="inlineStr">
        <is>
          <t>ICoM 2022 Annual Report; Appendix A, PDF pp. 35–38.</t>
        </is>
      </c>
      <c r="G154" s="8" t="inlineStr">
        <is>
          <t>PNNL_ICoM_2022_Annual_Report.pdf</t>
        </is>
      </c>
      <c r="H154" s="8" t="inlineStr">
        <is>
          <t>Appendix A, PDF pp. 35–38</t>
        </is>
      </c>
    </row>
    <row r="155">
      <c r="A155" s="8" t="n">
        <v>131</v>
      </c>
      <c r="B155" s="8" t="inlineStr">
        <is>
          <t>10.5194/essd-13-827-2021</t>
        </is>
      </c>
      <c r="C155" s="8" t="inlineStr">
        <is>
          <t>A high-resolution unified observational data product of mesoscale convective systems and isolated deep convection in the United States for 2004-2017</t>
        </is>
      </c>
      <c r="D155" s="8" t="inlineStr">
        <is>
          <t>FY20</t>
        </is>
      </c>
      <c r="E155" s="8" t="inlineStr">
        <is>
          <t>Submitted / In review</t>
        </is>
      </c>
      <c r="F155" s="8" t="inlineStr">
        <is>
          <t>ICoM 2020 Annual Report; Body, PDF p. 8.</t>
        </is>
      </c>
      <c r="G155" s="8" t="inlineStr">
        <is>
          <t>PNNL_ICoM_2020_Annual_Report_FINAL.pdf</t>
        </is>
      </c>
      <c r="H155" s="8" t="inlineStr">
        <is>
          <t>Body, PDF p. 8</t>
        </is>
      </c>
    </row>
    <row r="156">
      <c r="A156" s="8" t="n">
        <v>131</v>
      </c>
      <c r="B156" s="8" t="inlineStr">
        <is>
          <t>10.5194/essd-13-827-2021</t>
        </is>
      </c>
      <c r="C156" s="8" t="inlineStr">
        <is>
          <t>A high-resolution unified observational data product of mesoscale convective systems and isolated deep convection in the United States for 2004-2017</t>
        </is>
      </c>
      <c r="D156" s="8" t="inlineStr">
        <is>
          <t>FY21</t>
        </is>
      </c>
      <c r="E156" s="8" t="inlineStr">
        <is>
          <t>Published / Indexed</t>
        </is>
      </c>
      <c r="F156" s="8" t="inlineStr">
        <is>
          <t>ICoM 2021 Annual Report; Appendix A, PDF pp. 35–36.</t>
        </is>
      </c>
      <c r="G156" s="8" t="inlineStr">
        <is>
          <t>ICoM_2021_Annual_Report_FINAL.pdf</t>
        </is>
      </c>
      <c r="H156" s="8" t="inlineStr">
        <is>
          <t>Appendix A, PDF pp. 35–36</t>
        </is>
      </c>
    </row>
    <row r="157">
      <c r="A157" s="8" t="n">
        <v>132</v>
      </c>
      <c r="B157" s="8" t="inlineStr">
        <is>
          <t>10.1029/2020ef001930</t>
        </is>
      </c>
      <c r="C157" s="8" t="inlineStr">
        <is>
          <t>A retrospective and prospective examination of the 1960s U.S. northeast drought</t>
        </is>
      </c>
      <c r="D157" s="8" t="inlineStr">
        <is>
          <t>FY21</t>
        </is>
      </c>
      <c r="E157" s="8" t="inlineStr">
        <is>
          <t>Submitted / In review</t>
        </is>
      </c>
      <c r="F157" s="8" t="inlineStr">
        <is>
          <t>ICoM 2021 Annual Report; Appendix A, PDF pp. 35–36.</t>
        </is>
      </c>
      <c r="G157" s="8" t="inlineStr">
        <is>
          <t>ICoM_2021_Annual_Report_FINAL.pdf</t>
        </is>
      </c>
      <c r="H157" s="8" t="inlineStr">
        <is>
          <t>Appendix A, PDF pp. 35–36</t>
        </is>
      </c>
    </row>
    <row r="158">
      <c r="A158" s="8" t="n">
        <v>132</v>
      </c>
      <c r="B158" s="8" t="inlineStr">
        <is>
          <t>10.1029/2020ef001930</t>
        </is>
      </c>
      <c r="C158" s="8" t="inlineStr">
        <is>
          <t>A retrospective and prospective examination of the 1960s U.S. northeast drought</t>
        </is>
      </c>
      <c r="D158" s="8" t="inlineStr">
        <is>
          <t>FY22</t>
        </is>
      </c>
      <c r="E158" s="8" t="inlineStr">
        <is>
          <t>Published / Indexed</t>
        </is>
      </c>
      <c r="F158" s="8" t="inlineStr">
        <is>
          <t>ICoM 2022 Annual Report; Appendix A, PDF pp. 35–38.</t>
        </is>
      </c>
      <c r="G158" s="8" t="inlineStr">
        <is>
          <t>PNNL_ICoM_2022_Annual_Report.pdf</t>
        </is>
      </c>
      <c r="H158" s="8" t="inlineStr">
        <is>
          <t>Appendix A, PDF pp. 35–38</t>
        </is>
      </c>
    </row>
    <row r="159">
      <c r="A159" s="8" t="n">
        <v>133</v>
      </c>
      <c r="B159" s="8" t="inlineStr">
        <is>
          <t>10.1007/s10584-021-03114-z</t>
        </is>
      </c>
      <c r="C159" s="8" t="inlineStr">
        <is>
          <t>Attributable human-induced changes in the magnitude of flooding in the Houston, Texas region during Hurricane Harvey</t>
        </is>
      </c>
      <c r="D159" s="8" t="inlineStr">
        <is>
          <t>FY21</t>
        </is>
      </c>
      <c r="E159" s="8" t="inlineStr">
        <is>
          <t>Published / Indexed</t>
        </is>
      </c>
      <c r="F159" s="8" t="inlineStr">
        <is>
          <t>ICoM 2021 Annual Report; Appendix A, PDF pp. 35–36.</t>
        </is>
      </c>
      <c r="G159" s="8" t="inlineStr">
        <is>
          <t>ICoM_2021_Annual_Report_FINAL.pdf</t>
        </is>
      </c>
      <c r="H159" s="8" t="inlineStr">
        <is>
          <t>Appendix A, PDF pp. 35–36</t>
        </is>
      </c>
    </row>
    <row r="160">
      <c r="A160" s="8" t="n">
        <v>134</v>
      </c>
      <c r="B160" s="8" t="inlineStr">
        <is>
          <t>10.3389/fmars.2021.715557</t>
        </is>
      </c>
      <c r="C160" s="8" t="inlineStr">
        <is>
          <t>Characterizing the nonlinear interactions between tide, storm surge, and river flow in the Delaware Bay Estuary, USA</t>
        </is>
      </c>
      <c r="D160" s="8" t="inlineStr">
        <is>
          <t>FY21</t>
        </is>
      </c>
      <c r="E160" s="8" t="inlineStr">
        <is>
          <t>Submitted / In review</t>
        </is>
      </c>
      <c r="F160" s="8" t="inlineStr">
        <is>
          <t>ICoM 2021 Annual Report; Appendix A, PDF pp. 35–36.</t>
        </is>
      </c>
      <c r="G160" s="8" t="inlineStr">
        <is>
          <t>ICoM_2021_Annual_Report_FINAL.pdf</t>
        </is>
      </c>
      <c r="H160" s="8" t="inlineStr">
        <is>
          <t>Appendix A, PDF pp. 35–36</t>
        </is>
      </c>
    </row>
    <row r="161">
      <c r="A161" s="8" t="n">
        <v>134</v>
      </c>
      <c r="B161" s="8" t="inlineStr">
        <is>
          <t>10.3389/fmars.2021.715557</t>
        </is>
      </c>
      <c r="C161" s="8" t="inlineStr">
        <is>
          <t>Characterizing the nonlinear interactions between tide, storm surge, and river flow in the Delaware Bay Estuary, USA</t>
        </is>
      </c>
      <c r="D161" s="8" t="inlineStr">
        <is>
          <t>FY22</t>
        </is>
      </c>
      <c r="E161" s="8" t="inlineStr">
        <is>
          <t>Published / Indexed</t>
        </is>
      </c>
      <c r="F161" s="8" t="inlineStr">
        <is>
          <t>ICoM 2022 Annual Report; Appendix A, PDF pp. 35–38.</t>
        </is>
      </c>
      <c r="G161" s="8" t="inlineStr">
        <is>
          <t>PNNL_ICoM_2022_Annual_Report.pdf</t>
        </is>
      </c>
      <c r="H161" s="8" t="inlineStr">
        <is>
          <t>Appendix A, PDF pp. 35–38</t>
        </is>
      </c>
    </row>
    <row r="162">
      <c r="A162" s="8" t="n">
        <v>135</v>
      </c>
      <c r="B162" s="8" t="inlineStr">
        <is>
          <t>10.1088/1748-9326/ac2d6a</t>
        </is>
      </c>
      <c r="C162" s="8" t="inlineStr">
        <is>
          <t>Climatological analysis of tropical cyclone impacts on hydrological extremes in the Mid-Atlantic region of the United States</t>
        </is>
      </c>
      <c r="D162" s="8" t="inlineStr">
        <is>
          <t>FY21</t>
        </is>
      </c>
      <c r="E162" s="8" t="inlineStr">
        <is>
          <t>Submitted / In review</t>
        </is>
      </c>
      <c r="F162" s="8" t="inlineStr">
        <is>
          <t>ICoM 2021 Annual Report; Appendix A, PDF pp. 35–36.</t>
        </is>
      </c>
      <c r="G162" s="8" t="inlineStr">
        <is>
          <t>ICoM_2021_Annual_Report_FINAL.pdf</t>
        </is>
      </c>
      <c r="H162" s="8" t="inlineStr">
        <is>
          <t>Appendix A, PDF pp. 35–36</t>
        </is>
      </c>
    </row>
    <row r="163">
      <c r="A163" s="8" t="n">
        <v>135</v>
      </c>
      <c r="B163" s="8" t="inlineStr">
        <is>
          <t>10.1088/1748-9326/ac2d6a</t>
        </is>
      </c>
      <c r="C163" s="8" t="inlineStr">
        <is>
          <t>Climatological analysis of tropical cyclone impacts on hydrological extremes in the Mid-Atlantic region of the United States</t>
        </is>
      </c>
      <c r="D163" s="8" t="inlineStr">
        <is>
          <t>FY22</t>
        </is>
      </c>
      <c r="E163" s="8" t="inlineStr">
        <is>
          <t>Published / Indexed</t>
        </is>
      </c>
      <c r="F163" s="8" t="inlineStr">
        <is>
          <t>ICoM 2022 Annual Report; Appendix A, PDF pp. 35–38.</t>
        </is>
      </c>
      <c r="G163" s="8" t="inlineStr">
        <is>
          <t>PNNL_ICoM_2022_Annual_Report.pdf</t>
        </is>
      </c>
      <c r="H163" s="8" t="inlineStr">
        <is>
          <t>Appendix A, PDF pp. 35–38</t>
        </is>
      </c>
    </row>
    <row r="164">
      <c r="A164" s="8" t="n">
        <v>136</v>
      </c>
      <c r="B164" s="8" t="inlineStr">
        <is>
          <t>10.1175/waf-d-20-0104.1</t>
        </is>
      </c>
      <c r="C164" s="8" t="inlineStr">
        <is>
          <t>Deep learning experiments for tropical cyclone intensity forecasts</t>
        </is>
      </c>
      <c r="D164" s="8" t="inlineStr">
        <is>
          <t>FY21</t>
        </is>
      </c>
      <c r="E164" s="8" t="inlineStr">
        <is>
          <t>Accepted / In press</t>
        </is>
      </c>
      <c r="F164" s="8" t="inlineStr">
        <is>
          <t>ICoM 2021 Annual Report; Appendix A, PDF pp. 35–36.</t>
        </is>
      </c>
      <c r="G164" s="8" t="inlineStr">
        <is>
          <t>ICoM_2021_Annual_Report_FINAL.pdf</t>
        </is>
      </c>
      <c r="H164" s="8" t="inlineStr">
        <is>
          <t>Appendix A, PDF pp. 35–36</t>
        </is>
      </c>
    </row>
    <row r="165">
      <c r="A165" s="8" t="n">
        <v>136</v>
      </c>
      <c r="B165" s="8" t="inlineStr">
        <is>
          <t>10.1175/waf-d-20-0104.1</t>
        </is>
      </c>
      <c r="C165" s="8" t="inlineStr">
        <is>
          <t>Deep learning experiments for tropical cyclone intensity forecasts</t>
        </is>
      </c>
      <c r="D165" s="8" t="inlineStr">
        <is>
          <t>FY22</t>
        </is>
      </c>
      <c r="E165" s="8" t="inlineStr">
        <is>
          <t>Published / Indexed</t>
        </is>
      </c>
      <c r="F165" s="8" t="inlineStr">
        <is>
          <t>ICoM 2022 Annual Report; Appendix A, PDF pp. 35–38.</t>
        </is>
      </c>
      <c r="G165" s="8" t="inlineStr">
        <is>
          <t>PNNL_ICoM_2022_Annual_Report.pdf</t>
        </is>
      </c>
      <c r="H165" s="8" t="inlineStr">
        <is>
          <t>Appendix A, PDF pp. 35–38</t>
        </is>
      </c>
    </row>
    <row r="166">
      <c r="A166" s="8" t="n">
        <v>137</v>
      </c>
      <c r="B166" s="8" t="inlineStr">
        <is>
          <t>10.1038/s41558-021-01127-1</t>
        </is>
      </c>
      <c r="C166" s="8" t="inlineStr">
        <is>
          <t>Extreme sea levels at different global warming levels</t>
        </is>
      </c>
      <c r="D166" s="8" t="inlineStr">
        <is>
          <t>FY21</t>
        </is>
      </c>
      <c r="E166" s="8" t="inlineStr">
        <is>
          <t>Submitted / In review</t>
        </is>
      </c>
      <c r="F166" s="8" t="inlineStr">
        <is>
          <t>ICoM 2021 Annual Report; Appendix A, PDF pp. 35–36.</t>
        </is>
      </c>
      <c r="G166" s="8" t="inlineStr">
        <is>
          <t>ICoM_2021_Annual_Report_FINAL.pdf</t>
        </is>
      </c>
      <c r="H166" s="8" t="inlineStr">
        <is>
          <t>Appendix A, PDF pp. 35–36</t>
        </is>
      </c>
    </row>
    <row r="167">
      <c r="A167" s="8" t="n">
        <v>137</v>
      </c>
      <c r="B167" s="8" t="inlineStr">
        <is>
          <t>10.1038/s41558-021-01127-1</t>
        </is>
      </c>
      <c r="C167" s="8" t="inlineStr">
        <is>
          <t>Extreme sea levels at different global warming levels</t>
        </is>
      </c>
      <c r="D167" s="8" t="inlineStr">
        <is>
          <t>FY22</t>
        </is>
      </c>
      <c r="E167" s="8" t="inlineStr">
        <is>
          <t>Published / Indexed</t>
        </is>
      </c>
      <c r="F167" s="8" t="inlineStr">
        <is>
          <t>ICoM 2022 Annual Report; Appendix A, PDF pp. 35–38.</t>
        </is>
      </c>
      <c r="G167" s="8" t="inlineStr">
        <is>
          <t>PNNL_ICoM_2022_Annual_Report.pdf</t>
        </is>
      </c>
      <c r="H167" s="8" t="inlineStr">
        <is>
          <t>Appendix A, PDF pp. 35–38</t>
        </is>
      </c>
    </row>
    <row r="168">
      <c r="A168" s="8" t="n">
        <v>138</v>
      </c>
      <c r="B168" s="8" t="inlineStr">
        <is>
          <t>10.21105/joss.03175</t>
        </is>
      </c>
      <c r="C168" s="8" t="inlineStr">
        <is>
          <t>HyRiver: hydroclimate data retreiver</t>
        </is>
      </c>
      <c r="D168" s="8" t="inlineStr">
        <is>
          <t>FY21</t>
        </is>
      </c>
      <c r="E168" s="8" t="inlineStr">
        <is>
          <t>Submitted / In review</t>
        </is>
      </c>
      <c r="F168" s="8" t="inlineStr">
        <is>
          <t>ICoM 2021 Annual Report; Appendix A, PDF pp. 35–36.</t>
        </is>
      </c>
      <c r="G168" s="8" t="inlineStr">
        <is>
          <t>ICoM_2021_Annual_Report_FINAL.pdf</t>
        </is>
      </c>
      <c r="H168" s="8" t="inlineStr">
        <is>
          <t>Appendix A, PDF pp. 35–36</t>
        </is>
      </c>
    </row>
    <row r="169">
      <c r="A169" s="8" t="n">
        <v>138</v>
      </c>
      <c r="B169" s="8" t="inlineStr">
        <is>
          <t>10.21105/joss.03175</t>
        </is>
      </c>
      <c r="C169" s="8" t="inlineStr">
        <is>
          <t>HyRiver: hydroclimate data retreiver</t>
        </is>
      </c>
      <c r="D169" s="8" t="inlineStr">
        <is>
          <t>FY22</t>
        </is>
      </c>
      <c r="E169" s="8" t="inlineStr">
        <is>
          <t>Published / Indexed</t>
        </is>
      </c>
      <c r="F169" s="8" t="inlineStr">
        <is>
          <t>ICoM 2022 Annual Report; Appendix A, PDF pp. 35–38.</t>
        </is>
      </c>
      <c r="G169" s="8" t="inlineStr">
        <is>
          <t>PNNL_ICoM_2022_Annual_Report.pdf</t>
        </is>
      </c>
      <c r="H169" s="8" t="inlineStr">
        <is>
          <t>Appendix A, PDF pp. 35–38</t>
        </is>
      </c>
    </row>
    <row r="170">
      <c r="A170" s="8" t="n">
        <v>139</v>
      </c>
      <c r="B170" s="8" t="inlineStr">
        <is>
          <t>10.5194/gmd-14-4261-2021</t>
        </is>
      </c>
      <c r="C170" s="8" t="inlineStr">
        <is>
          <t>Integrating CVMix into GOTM (v6.0): a consistent framework for testing, comparing, and applying ocean mixing schemes</t>
        </is>
      </c>
      <c r="D170" s="8" t="inlineStr">
        <is>
          <t>FY21</t>
        </is>
      </c>
      <c r="E170" s="8" t="inlineStr">
        <is>
          <t>Submitted / In review</t>
        </is>
      </c>
      <c r="F170" s="8" t="inlineStr">
        <is>
          <t>ICoM 2021 Annual Report; Appendix A, PDF pp. 35–36.</t>
        </is>
      </c>
      <c r="G170" s="8" t="inlineStr">
        <is>
          <t>ICoM_2021_Annual_Report_FINAL.pdf</t>
        </is>
      </c>
      <c r="H170" s="8" t="inlineStr">
        <is>
          <t>Appendix A, PDF pp. 35–36</t>
        </is>
      </c>
    </row>
    <row r="171">
      <c r="A171" s="8" t="n">
        <v>139</v>
      </c>
      <c r="B171" s="8" t="inlineStr">
        <is>
          <t>10.5194/gmd-14-4261-2021</t>
        </is>
      </c>
      <c r="C171" s="8" t="inlineStr">
        <is>
          <t>Integrating CVMix into GOTM (v6.0): a consistent framework for testing, comparing, and applying ocean mixing schemes</t>
        </is>
      </c>
      <c r="D171" s="8" t="inlineStr">
        <is>
          <t>FY22</t>
        </is>
      </c>
      <c r="E171" s="8" t="inlineStr">
        <is>
          <t>Published / Indexed</t>
        </is>
      </c>
      <c r="F171" s="8" t="inlineStr">
        <is>
          <t>ICoM 2022 Annual Report; Appendix A, PDF pp. 35–38.</t>
        </is>
      </c>
      <c r="G171" s="8" t="inlineStr">
        <is>
          <t>PNNL_ICoM_2022_Annual_Report.pdf</t>
        </is>
      </c>
      <c r="H171" s="8" t="inlineStr">
        <is>
          <t>Appendix A, PDF pp. 35–38</t>
        </is>
      </c>
    </row>
    <row r="172">
      <c r="A172" s="8" t="n">
        <v>140</v>
      </c>
      <c r="B172" s="8" t="inlineStr">
        <is>
          <t>10.1016/j.jcp.2021.110818</t>
        </is>
      </c>
      <c r="C172" s="8" t="inlineStr">
        <is>
          <t>Local time stepping for the shallow water equations in MPAS</t>
        </is>
      </c>
      <c r="D172" s="8" t="inlineStr">
        <is>
          <t>FY22</t>
        </is>
      </c>
      <c r="E172" s="8" t="inlineStr">
        <is>
          <t>Published / Indexed</t>
        </is>
      </c>
      <c r="F172" s="8" t="inlineStr">
        <is>
          <t>ICoM 2022 Annual Report; Appendix A, PDF pp. 35–38.</t>
        </is>
      </c>
      <c r="G172" s="8" t="inlineStr">
        <is>
          <t>PNNL_ICoM_2022_Annual_Report.pdf</t>
        </is>
      </c>
      <c r="H172" s="8" t="inlineStr">
        <is>
          <t>Appendix A, PDF pp. 35–38</t>
        </is>
      </c>
    </row>
    <row r="173">
      <c r="A173" s="8" t="n">
        <v>141</v>
      </c>
      <c r="B173" s="8" t="inlineStr">
        <is>
          <t>10.1080/15230406.2021.1991479</t>
        </is>
      </c>
      <c r="C173" s="8" t="inlineStr">
        <is>
          <t>Population downscaling using high-resolution, temporally-rich U.S. property data</t>
        </is>
      </c>
      <c r="D173" s="8" t="inlineStr">
        <is>
          <t>FY21</t>
        </is>
      </c>
      <c r="E173" s="8" t="inlineStr">
        <is>
          <t>Submitted / In review</t>
        </is>
      </c>
      <c r="F173" s="8" t="inlineStr">
        <is>
          <t>ICoM 2021 Annual Report; Appendix A, PDF pp. 35–36.</t>
        </is>
      </c>
      <c r="G173" s="8" t="inlineStr">
        <is>
          <t>ICoM_2021_Annual_Report_FINAL.pdf</t>
        </is>
      </c>
      <c r="H173" s="8" t="inlineStr">
        <is>
          <t>Appendix A, PDF pp. 35–36</t>
        </is>
      </c>
    </row>
    <row r="174">
      <c r="A174" s="8" t="n">
        <v>141</v>
      </c>
      <c r="B174" s="8" t="inlineStr">
        <is>
          <t>10.1080/15230406.2021.1991479</t>
        </is>
      </c>
      <c r="C174" s="8" t="inlineStr">
        <is>
          <t>Population downscaling using high-resolution, temporally-rich U.S. property data</t>
        </is>
      </c>
      <c r="D174" s="8" t="inlineStr">
        <is>
          <t>FY22</t>
        </is>
      </c>
      <c r="E174" s="8" t="inlineStr">
        <is>
          <t>Published / Indexed</t>
        </is>
      </c>
      <c r="F174" s="8" t="inlineStr">
        <is>
          <t>ICoM 2022 Annual Report; Appendix A, PDF pp. 35–38.</t>
        </is>
      </c>
      <c r="G174" s="8" t="inlineStr">
        <is>
          <t>PNNL_ICoM_2022_Annual_Report.pdf</t>
        </is>
      </c>
      <c r="H174" s="8" t="inlineStr">
        <is>
          <t>Appendix A, PDF pp. 35–38</t>
        </is>
      </c>
    </row>
    <row r="175">
      <c r="A175" s="8" t="n">
        <v>142</v>
      </c>
      <c r="B175" s="8" t="inlineStr">
        <is>
          <t>10.3390/oceans2040039</t>
        </is>
      </c>
      <c r="C175" s="8" t="inlineStr">
        <is>
          <t>Simulated changes in tropical cyclone size, accumulated cyclone energy and power dissipation index in a warmer climate</t>
        </is>
      </c>
      <c r="D175" s="8" t="inlineStr">
        <is>
          <t>FY21</t>
        </is>
      </c>
      <c r="E175" s="8" t="inlineStr">
        <is>
          <t>Submitted / In review</t>
        </is>
      </c>
      <c r="F175" s="8" t="inlineStr">
        <is>
          <t>ICoM 2021 Annual Report; Appendix A, PDF pp. 35–36.</t>
        </is>
      </c>
      <c r="G175" s="8" t="inlineStr">
        <is>
          <t>ICoM_2021_Annual_Report_FINAL.pdf</t>
        </is>
      </c>
      <c r="H175" s="8" t="inlineStr">
        <is>
          <t>Appendix A, PDF pp. 35–36</t>
        </is>
      </c>
    </row>
    <row r="176">
      <c r="A176" s="8" t="n">
        <v>142</v>
      </c>
      <c r="B176" s="8" t="inlineStr">
        <is>
          <t>10.3390/oceans2040039</t>
        </is>
      </c>
      <c r="C176" s="8" t="inlineStr">
        <is>
          <t>Simulated changes in tropical cyclone size, accumulated cyclone energy and power dissipation index in a warmer climate</t>
        </is>
      </c>
      <c r="D176" s="8" t="inlineStr">
        <is>
          <t>FY22</t>
        </is>
      </c>
      <c r="E176" s="8" t="inlineStr">
        <is>
          <t>Published / Indexed</t>
        </is>
      </c>
      <c r="F176" s="8" t="inlineStr">
        <is>
          <t>ICoM 2022 Annual Report; Appendix A, PDF pp. 35–38.</t>
        </is>
      </c>
      <c r="G176" s="8" t="inlineStr">
        <is>
          <t>PNNL_ICoM_2022_Annual_Report.pdf</t>
        </is>
      </c>
      <c r="H176" s="8" t="inlineStr">
        <is>
          <t>Appendix A, PDF pp. 35–38</t>
        </is>
      </c>
    </row>
    <row r="177">
      <c r="A177" s="8" t="n">
        <v>143</v>
      </c>
      <c r="B177" s="8" t="inlineStr">
        <is>
          <t>10.1029/2021jd035045</t>
        </is>
      </c>
      <c r="C177" s="8" t="inlineStr">
        <is>
          <t>Summer mean and extreme precipitation over the Mid-Atlantic region: Climatological characteristics and contributions from different precipitation types</t>
        </is>
      </c>
      <c r="D177" s="8" t="inlineStr">
        <is>
          <t>FY21</t>
        </is>
      </c>
      <c r="E177" s="8" t="inlineStr">
        <is>
          <t>Submitted / In review</t>
        </is>
      </c>
      <c r="F177" s="8" t="inlineStr">
        <is>
          <t>ICoM 2021 Annual Report; Appendix A, PDF pp. 35–36.</t>
        </is>
      </c>
      <c r="G177" s="8" t="inlineStr">
        <is>
          <t>ICoM_2021_Annual_Report_FINAL.pdf</t>
        </is>
      </c>
      <c r="H177" s="8" t="inlineStr">
        <is>
          <t>Appendix A, PDF pp. 35–36</t>
        </is>
      </c>
    </row>
    <row r="178">
      <c r="A178" s="8" t="n">
        <v>143</v>
      </c>
      <c r="B178" s="8" t="inlineStr">
        <is>
          <t>10.1029/2021jd035045</t>
        </is>
      </c>
      <c r="C178" s="8" t="inlineStr">
        <is>
          <t>Summer mean and extreme precipitation over the Mid-Atlantic region: Climatological characteristics and contributions from different precipitation types</t>
        </is>
      </c>
      <c r="D178" s="8" t="inlineStr">
        <is>
          <t>FY22</t>
        </is>
      </c>
      <c r="E178" s="8" t="inlineStr">
        <is>
          <t>Published / Indexed</t>
        </is>
      </c>
      <c r="F178" s="8" t="inlineStr">
        <is>
          <t>ICoM 2022 Annual Report; Appendix A, PDF pp. 35–38.</t>
        </is>
      </c>
      <c r="G178" s="8" t="inlineStr">
        <is>
          <t>PNNL_ICoM_2022_Annual_Report.pdf</t>
        </is>
      </c>
      <c r="H178" s="8" t="inlineStr">
        <is>
          <t>Appendix A, PDF pp. 35–38</t>
        </is>
      </c>
    </row>
    <row r="179">
      <c r="A179" s="8" t="n">
        <v>145</v>
      </c>
      <c r="B179" s="8" t="inlineStr">
        <is>
          <t>10.5065/fp9y-ae42</t>
        </is>
      </c>
      <c r="C179" s="8" t="inlineStr">
        <is>
          <t>Challenges in predicting the coevolution of natural and human systems on coastal regions</t>
        </is>
      </c>
      <c r="D179" s="8" t="inlineStr">
        <is>
          <t>FY21</t>
        </is>
      </c>
      <c r="E179" s="8" t="inlineStr">
        <is>
          <t>Published / Indexed</t>
        </is>
      </c>
      <c r="F179" s="8" t="inlineStr">
        <is>
          <t>ICoM 2021 Annual Report; Appendix A, PDF pp. 35–36.</t>
        </is>
      </c>
      <c r="G179" s="8" t="inlineStr">
        <is>
          <t>ICoM_2021_Annual_Report_FINAL.pdf</t>
        </is>
      </c>
      <c r="H179" s="8" t="inlineStr">
        <is>
          <t>Appendix A, PDF pp. 35–36</t>
        </is>
      </c>
    </row>
    <row r="180">
      <c r="A180" s="8" t="n">
        <v>146</v>
      </c>
      <c r="B180" s="8" t="inlineStr">
        <is>
          <t>10.1029/2020gl088185</t>
        </is>
      </c>
      <c r="C180" s="8" t="inlineStr">
        <is>
          <t>Spatiotemporal Characteristics and Propagation of Summer Extreme Precipitation Events Over United States: A Complex Network Analysis</t>
        </is>
      </c>
      <c r="D180" s="8" t="inlineStr">
        <is>
          <t>FY21</t>
        </is>
      </c>
      <c r="E180" s="8" t="inlineStr">
        <is>
          <t>Published / Indexed</t>
        </is>
      </c>
      <c r="F180" s="8" t="inlineStr">
        <is>
          <t>ICoM 2021 Annual Report; Appendix A, PDF pp. 35–36.</t>
        </is>
      </c>
      <c r="G180" s="8" t="inlineStr">
        <is>
          <t>ICoM_2021_Annual_Report_FINAL.pdf</t>
        </is>
      </c>
      <c r="H180" s="8" t="inlineStr">
        <is>
          <t>Appendix A, PDF pp. 35–36</t>
        </is>
      </c>
    </row>
  </sheetData>
  <autoFilter ref="A1:H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2026-07-23T23:05:18Z</dcterms:created>
  <dcterms:modified xmlns:dcterms="http://purl.org/dc/terms/" xmlns:xsi="http://www.w3.org/2001/XMLSchema-instance" xsi:type="dcterms:W3CDTF">2026-07-23T23:05:18Z</dcterms:modified>
</cp:coreProperties>
</file>